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Holdings" sheetId="2" state="visible" r:id="rId4"/>
    <sheet name="Projection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<sst xmlns="http://schemas.openxmlformats.org/spreadsheetml/2006/main" count="129" uniqueCount="114">
  <si>
    <t xml:space="preserve">Long-Term Portfolio Plan - Moderate Growth (Robinhood)</t>
  </si>
  <si>
    <t xml:space="preserve">Blue = input you can change | Black = formula | Green = link | Yellow = key assumption. Illustrative template, not investment advice.</t>
  </si>
  <si>
    <t xml:space="preserve">Inputs</t>
  </si>
  <si>
    <t xml:space="preserve">Monthly contribution ($)</t>
  </si>
  <si>
    <t xml:space="preserve">You said over $1,000/month; $1,500 assumed - change it</t>
  </si>
  <si>
    <t xml:space="preserve">Current portfolio value ($)</t>
  </si>
  <si>
    <t xml:space="preserve">Auto-filled from the Holdings sheet</t>
  </si>
  <si>
    <t xml:space="preserve">Annual increase in contributions</t>
  </si>
  <si>
    <t xml:space="preserve">ASSUMPTION: raises track with income</t>
  </si>
  <si>
    <t xml:space="preserve">Inflation</t>
  </si>
  <si>
    <t xml:space="preserve">ASSUMPTION: used for "today's dollars" values</t>
  </si>
  <si>
    <t xml:space="preserve">Rebalance drift tolerance (+/- pts)</t>
  </si>
  <si>
    <t xml:space="preserve">Flag a holding when it drifts this far from target</t>
  </si>
  <si>
    <t xml:space="preserve">Low / high case return spread (+/- pts)</t>
  </si>
  <si>
    <t xml:space="preserve">Shifts expected return for the low and high projections</t>
  </si>
  <si>
    <t xml:space="preserve">Expected return by asset class (assumptions - long-run guesses, not guarantees)</t>
  </si>
  <si>
    <t xml:space="preserve">Asset class</t>
  </si>
  <si>
    <t xml:space="preserve">Expected annual return</t>
  </si>
  <si>
    <t xml:space="preserve">Target % (sum)</t>
  </si>
  <si>
    <t xml:space="preserve">Role</t>
  </si>
  <si>
    <t xml:space="preserve">US Equity ETF</t>
  </si>
  <si>
    <t xml:space="preserve">Core growth</t>
  </si>
  <si>
    <t xml:space="preserve">Intl Equity ETF</t>
  </si>
  <si>
    <t xml:space="preserve">Diversification</t>
  </si>
  <si>
    <t xml:space="preserve">Dividend ETF</t>
  </si>
  <si>
    <t xml:space="preserve">Income / stability</t>
  </si>
  <si>
    <t xml:space="preserve">Individual Stocks</t>
  </si>
  <si>
    <t xml:space="preserve">Higher conviction, higher risk</t>
  </si>
  <si>
    <t xml:space="preserve">Bonds</t>
  </si>
  <si>
    <t xml:space="preserve">Ballast</t>
  </si>
  <si>
    <t xml:space="preserve">Cash / T-Bills</t>
  </si>
  <si>
    <t xml:space="preserve">Dry powder</t>
  </si>
  <si>
    <t xml:space="preserve">Target allocation (edit tickers / weights - must total 100%)</t>
  </si>
  <si>
    <t xml:space="preserve">Ticker</t>
  </si>
  <si>
    <t xml:space="preserve">Name</t>
  </si>
  <si>
    <t xml:space="preserve">Target %</t>
  </si>
  <si>
    <t xml:space="preserve">Expected return</t>
  </si>
  <si>
    <t xml:space="preserve">Monthly $</t>
  </si>
  <si>
    <t xml:space="preserve">Annual $</t>
  </si>
  <si>
    <t xml:space="preserve">VTI</t>
  </si>
  <si>
    <t xml:space="preserve">Vanguard Total Stock Market ETF</t>
  </si>
  <si>
    <t xml:space="preserve">VXUS</t>
  </si>
  <si>
    <t xml:space="preserve">Vanguard Total International Stock ETF</t>
  </si>
  <si>
    <t xml:space="preserve">SCHD</t>
  </si>
  <si>
    <t xml:space="preserve">Schwab US Dividend Equity ETF</t>
  </si>
  <si>
    <t xml:space="preserve">NVDA</t>
  </si>
  <si>
    <t xml:space="preserve">NVIDIA</t>
  </si>
  <si>
    <t xml:space="preserve">MSFT</t>
  </si>
  <si>
    <t xml:space="preserve">Microsoft</t>
  </si>
  <si>
    <t xml:space="preserve">GOOGL</t>
  </si>
  <si>
    <t xml:space="preserve">Alphabet</t>
  </si>
  <si>
    <t xml:space="preserve">AMZN</t>
  </si>
  <si>
    <t xml:space="preserve">Amazon</t>
  </si>
  <si>
    <t xml:space="preserve">BRK.B</t>
  </si>
  <si>
    <t xml:space="preserve">Berkshire Hathaway</t>
  </si>
  <si>
    <t xml:space="preserve">BND</t>
  </si>
  <si>
    <t xml:space="preserve">Vanguard Total Bond Market ETF</t>
  </si>
  <si>
    <t xml:space="preserve">SGOV</t>
  </si>
  <si>
    <t xml:space="preserve">iShares 0-3 Month Treasury Bond ETF</t>
  </si>
  <si>
    <t xml:space="preserve">(spare slot)</t>
  </si>
  <si>
    <t xml:space="preserve">Total / weighted</t>
  </si>
  <si>
    <t xml:space="preserve">Key outputs</t>
  </si>
  <si>
    <t xml:space="preserve">Expected portfolio return (weighted)</t>
  </si>
  <si>
    <t xml:space="preserve">Stock exposure (all equity classes)</t>
  </si>
  <si>
    <t xml:space="preserve">Individual stocks share of portfolio</t>
  </si>
  <si>
    <t xml:space="preserve">Largest single-stock position</t>
  </si>
  <si>
    <t xml:space="preserve">Base projection - value in 10 years</t>
  </si>
  <si>
    <t xml:space="preserve">Base projection - value in 20 years</t>
  </si>
  <si>
    <t xml:space="preserve">Base projection - value in 30 years</t>
  </si>
  <si>
    <t xml:space="preserve">  ...in today's dollars (30 yrs)</t>
  </si>
  <si>
    <t xml:space="preserve">Total contributed over 30 years</t>
  </si>
  <si>
    <t xml:space="preserve">Holdings Tracker &amp; This Month's Buy Plan</t>
  </si>
  <si>
    <t xml:space="preserve">Enter shares, average cost and current price from your Robinhood account (yellow cells). The plan puts new money into the most underweight holdings - no selling needed.</t>
  </si>
  <si>
    <t xml:space="preserve">Example (do not type here): VTI | shares 10 | avg cost $250.00 | price $310.00  -&gt;  value $3,100, gain $600 (+24.0%)</t>
  </si>
  <si>
    <t xml:space="preserve">Shares</t>
  </si>
  <si>
    <t xml:space="preserve">Avg cost ($)</t>
  </si>
  <si>
    <t xml:space="preserve">Price ($)</t>
  </si>
  <si>
    <t xml:space="preserve">Market value</t>
  </si>
  <si>
    <t xml:space="preserve">Cost basis</t>
  </si>
  <si>
    <t xml:space="preserve">Gain / loss</t>
  </si>
  <si>
    <t xml:space="preserve">Gain %</t>
  </si>
  <si>
    <t xml:space="preserve">Weight</t>
  </si>
  <si>
    <t xml:space="preserve">Target</t>
  </si>
  <si>
    <t xml:space="preserve">Drift</t>
  </si>
  <si>
    <t xml:space="preserve">Status</t>
  </si>
  <si>
    <t xml:space="preserve">Gap to target ($)</t>
  </si>
  <si>
    <t xml:space="preserve">Buy this month ($)</t>
  </si>
  <si>
    <t xml:space="preserve">Shares to buy</t>
  </si>
  <si>
    <t xml:space="preserve">Total</t>
  </si>
  <si>
    <t xml:space="preserve">How the buy plan works: each holding's gap = target % x (portfolio + this month's contribution) - current value. The contribution is split in proportion to the gaps, so underweight positions get more. Fractional shares are supported on Robinhood.</t>
  </si>
  <si>
    <t xml:space="preserve">30-Year Projection</t>
  </si>
  <si>
    <t xml:space="preserve">Contributions are assumed spread evenly through each year. Returns are assumptions, not guarantees; real markets are far bumpier than a smooth line.</t>
  </si>
  <si>
    <t xml:space="preserve">Year</t>
  </si>
  <si>
    <t xml:space="preserve">Contribution</t>
  </si>
  <si>
    <t xml:space="preserve">Base case</t>
  </si>
  <si>
    <t xml:space="preserve">Low case</t>
  </si>
  <si>
    <t xml:space="preserve">High case</t>
  </si>
  <si>
    <t xml:space="preserve">Total contributed</t>
  </si>
  <si>
    <t xml:space="preserve">Base, today's dollars</t>
  </si>
  <si>
    <t xml:space="preserve">Base gain over contributed</t>
  </si>
  <si>
    <t xml:space="preserve">How to Use &amp; Notes</t>
  </si>
  <si>
    <t xml:space="preserve">HOW TO USE</t>
  </si>
  <si>
    <t xml:space="preserve">1. Plan sheet: set your monthly amount (yellow) and review the target weights. Weights must total 100%.</t>
  </si>
  <si>
    <t xml:space="preserve">2. Holdings sheet: type shares, average cost and price from Robinhood into the yellow cells. Leave at 0 if you are starting fresh.</t>
  </si>
  <si>
    <t xml:space="preserve">3. Each month: open Holdings and use the "Buy this month" column. It steers new money to underweight positions so you rebalance without selling (no taxable sales).</t>
  </si>
  <si>
    <t xml:space="preserve">4. Re-check the Status column quarterly; a holding drifting past your tolerance is a signal to tilt future buys, not to panic-sell.</t>
  </si>
  <si>
    <t xml:space="preserve">DESIGN NOTES</t>
  </si>
  <si>
    <t xml:space="preserve">- Moderate growth: about 80% stocks / 20% bonds and T-bills. Within stocks, ~50% broad ETFs, ~30% individual large caps, ~5% dividend ETF.</t>
  </si>
  <si>
    <t xml:space="preserve">- Individual stocks total 30% (6% each). Keeping any single stock around 5-6% limits the damage if one thesis breaks.</t>
  </si>
  <si>
    <t xml:space="preserve">- The tickers are an illustrative example of a diversified mix, not a recommendation. Swap them in the Plan sheet; asset-class return assumptions update automatically.</t>
  </si>
  <si>
    <t xml:space="preserve">- Fees: broad index ETFs listed here have very low expense ratios; check each fund's current expense ratio and holdings before buying.</t>
  </si>
  <si>
    <t xml:space="preserve">- Consider holding long-term money in a tax-advantaged account (Roth/Traditional IRA) if eligible; check current IRS contribution limits and Robinhood's available account types.</t>
  </si>
  <si>
    <t xml:space="preserve">- Expected returns (7% US, 6.5% intl/dividend, 8% individual stocks, 4% bonds, 3.5% cash) are my assumptions for illustration. Actual returns will vary widely and can be negative for years.</t>
  </si>
  <si>
    <t xml:space="preserve">- Educational template, not financial advice. A fee-only fiduciary advisor can tailor this to your taxes and goals.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</si>
</sst>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;\(0.0%\);\-"/>
    <numFmt numFmtId="167" formatCode="#,##0.0000;\(#,##0.0000\);\-"/>
    <numFmt numFmtId="168" formatCode="\$#,##0.00;&quot;($&quot;#,##0.00\);\-"/>
    <numFmt numFmtId="169" formatCode="#,##0.0000"/>
    <numFmt numFmtId="170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BBB59"/>
      <rgbColor rgb="FF808080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4A7EBB"/>
      <rgbColor rgb="FF4BACC6"/>
      <rgbColor rgb="FF98B855"/>
      <rgbColor rgb="FFFFCC00"/>
      <rgbColor rgb="FFF79646"/>
      <rgbColor rgb="FFFF6600"/>
      <rgbColor rgb="FF8064A2"/>
      <rgbColor rgb="FF878787"/>
      <rgbColor rgb="FF1F3864"/>
      <rgbColor rgb="FF4F81BD"/>
      <rgbColor rgb="FF003300"/>
      <rgbColor rgb="FF333300"/>
      <rgbColor rgb="FF993300"/>
      <rgbColor rgb="FFC0504D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Target allocation by asset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Plan!$A$13:$A$18</c:f>
              <c:strCache>
                <c:ptCount val="6"/>
                <c:pt idx="0">
                  <c:v>US Equity ETF</c:v>
                </c:pt>
                <c:pt idx="1">
                  <c:v>Intl Equity ETF</c:v>
                </c:pt>
                <c:pt idx="2">
                  <c:v>Dividend ETF</c:v>
                </c:pt>
                <c:pt idx="3">
                  <c:v>Individual Stocks</c:v>
                </c:pt>
                <c:pt idx="4">
                  <c:v>Bonds</c:v>
                </c:pt>
                <c:pt idx="5">
                  <c:v>Cash / T-Bills</c:v>
                </c:pt>
              </c:strCache>
            </c:strRef>
          </c:cat>
          <c:val>
            <c:numRef>
              <c:f>Plan!$C$13:$C$18</c:f>
              <c:numCache>
                <c:formatCode>0.0%;\(0.0%\);\-</c:formatCode>
                <c:ptCount val="6"/>
                <c:pt idx="0">
                  <c:v>0.33</c:v>
                </c:pt>
                <c:pt idx="1">
                  <c:v>0.12</c:v>
                </c:pt>
                <c:pt idx="2">
                  <c:v>0.05</c:v>
                </c:pt>
                <c:pt idx="3">
                  <c:v>0.3</c:v>
                </c:pt>
                <c:pt idx="4">
                  <c:v>0.15</c:v>
                </c:pt>
                <c:pt idx="5">
                  <c:v>0.05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Projected portfolio value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Projection!C4</c:f>
              <c:strCache>
                <c:ptCount val="1"/>
                <c:pt idx="0">
                  <c:v>Base case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Projection!$A$5:$A$35</c:f>
              <c:strCach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strCache>
            </c:strRef>
          </c:cat>
          <c:val>
            <c:numRef>
              <c:f>Projection!$C$5:$C$35</c:f>
              <c:numCache>
                <c:formatCode>\$#,##0;"($"#,##0\);\-</c:formatCode>
                <c:ptCount val="31"/>
                <c:pt idx="0">
                  <c:v>0</c:v>
                </c:pt>
                <c:pt idx="1">
                  <c:v>18593.1</c:v>
                </c:pt>
                <c:pt idx="2">
                  <c:v>38969.27829</c:v>
                </c:pt>
                <c:pt idx="3">
                  <c:v>61262.773519311</c:v>
                </c:pt>
                <c:pt idx="4">
                  <c:v>85617.1726779336</c:v>
                </c:pt>
                <c:pt idx="5">
                  <c:v>112186.04221262</c:v>
                </c:pt>
                <c:pt idx="6">
                  <c:v>141133.601185299</c:v>
                </c:pt>
                <c:pt idx="7">
                  <c:v>172635.439258004</c:v>
                </c:pt>
                <c:pt idx="8">
                  <c:v>206879.282472338</c:v>
                </c:pt>
                <c:pt idx="9">
                  <c:v>244065.809987513</c:v>
                </c:pt>
                <c:pt idx="10">
                  <c:v>284409.525149946</c:v>
                </c:pt>
                <c:pt idx="11">
                  <c:v>328139.68449011</c:v>
                </c:pt>
                <c:pt idx="12">
                  <c:v>375501.288479775</c:v>
                </c:pt>
                <c:pt idx="13">
                  <c:v>426756.138135812</c:v>
                </c:pt>
                <c:pt idx="14">
                  <c:v>482183.961826538</c:v>
                </c:pt>
                <c:pt idx="15">
                  <c:v>542083.616924111</c:v>
                </c:pt>
                <c:pt idx="16">
                  <c:v>606774.37125301</c:v>
                </c:pt>
                <c:pt idx="17">
                  <c:v>676597.269611391</c:v>
                </c:pt>
                <c:pt idx="18">
                  <c:v>751916.590990373</c:v>
                </c:pt>
                <c:pt idx="19">
                  <c:v>833121.402487579</c:v>
                </c:pt>
                <c:pt idx="20">
                  <c:v>920627.216306978</c:v>
                </c:pt>
                <c:pt idx="21">
                  <c:v>1014877.75665894</c:v>
                </c:pt>
                <c:pt idx="22">
                  <c:v>1116346.84382402</c:v>
                </c:pt>
                <c:pt idx="23">
                  <c:v>1225540.40312331</c:v>
                </c:pt>
                <c:pt idx="24">
                  <c:v>1342998.60704916</c:v>
                </c:pt>
                <c:pt idx="25">
                  <c:v>1469298.15935453</c:v>
                </c:pt>
                <c:pt idx="26">
                  <c:v>1605054.73047985</c:v>
                </c:pt>
                <c:pt idx="27">
                  <c:v>1750925.55431504</c:v>
                </c:pt>
                <c:pt idx="28">
                  <c:v>1907612.19695387</c:v>
                </c:pt>
                <c:pt idx="29">
                  <c:v>2075863.50880088</c:v>
                </c:pt>
                <c:pt idx="30">
                  <c:v>2256478.77214064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Projection!D4</c:f>
              <c:strCache>
                <c:ptCount val="1"/>
                <c:pt idx="0">
                  <c:v>Low case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Projection!$A$5:$A$35</c:f>
              <c:strCach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strCache>
            </c:strRef>
          </c:cat>
          <c:val>
            <c:numRef>
              <c:f>Projection!$D$5:$D$35</c:f>
              <c:numCache>
                <c:formatCode>\$#,##0;"($"#,##0\);\-</c:formatCode>
                <c:ptCount val="31"/>
                <c:pt idx="0">
                  <c:v>0</c:v>
                </c:pt>
                <c:pt idx="1">
                  <c:v>18413.1</c:v>
                </c:pt>
                <c:pt idx="2">
                  <c:v>38223.75429</c:v>
                </c:pt>
                <c:pt idx="3">
                  <c:v>59512.682401911</c:v>
                </c:pt>
                <c:pt idx="4">
                  <c:v>82364.8060478587</c:v>
                </c:pt>
                <c:pt idx="5">
                  <c:v>106869.456914866</c:v>
                </c:pt>
                <c:pt idx="6">
                  <c:v>133120.594444752</c:v>
                </c:pt>
                <c:pt idx="7">
                  <c:v>161217.034070984</c:v>
                </c:pt>
                <c:pt idx="8">
                  <c:v>191262.686406297</c:v>
                </c:pt>
                <c:pt idx="9">
                  <c:v>223366.807897945</c:v>
                </c:pt>
                <c:pt idx="10">
                  <c:v>257644.263491627</c:v>
                </c:pt>
                <c:pt idx="11">
                  <c:v>294215.801870394</c:v>
                </c:pt>
                <c:pt idx="12">
                  <c:v>333208.343861281</c:v>
                </c:pt>
                <c:pt idx="13">
                  <c:v>374755.284630101</c:v>
                </c:pt>
                <c:pt idx="14">
                  <c:v>418996.810313778</c:v>
                </c:pt>
                <c:pt idx="15">
                  <c:v>466080.22976991</c:v>
                </c:pt>
                <c:pt idx="16">
                  <c:v>516160.32215496</c:v>
                </c:pt>
                <c:pt idx="17">
                  <c:v>569399.701075643</c:v>
                </c:pt>
                <c:pt idx="18">
                  <c:v>625969.196092798</c:v>
                </c:pt>
                <c:pt idx="19">
                  <c:v>686048.252393374</c:v>
                </c:pt>
                <c:pt idx="20">
                  <c:v>749825.349484144</c:v>
                </c:pt>
                <c:pt idx="21">
                  <c:v>817498.439800557</c:v>
                </c:pt>
                <c:pt idx="22">
                  <c:v>889275.408165747</c:v>
                </c:pt>
                <c:pt idx="23">
                  <c:v>965374.553078249</c:v>
                </c:pt>
                <c:pt idx="24">
                  <c:v>1046025.09085257</c:v>
                </c:pt>
                <c:pt idx="25">
                  <c:v>1131467.68368437</c:v>
                </c:pt>
                <c:pt idx="26">
                  <c:v>1221954.99276199</c:v>
                </c:pt>
                <c:pt idx="27">
                  <c:v>1317752.25759818</c:v>
                </c:pt>
                <c:pt idx="28">
                  <c:v>1419137.9028104</c:v>
                </c:pt>
                <c:pt idx="29">
                  <c:v>1526404.17363552</c:v>
                </c:pt>
                <c:pt idx="30">
                  <c:v>1639857.80152409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Projection!E4</c:f>
              <c:strCache>
                <c:ptCount val="1"/>
                <c:pt idx="0">
                  <c:v>High case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Projection!$A$5:$A$35</c:f>
              <c:strCach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strCache>
            </c:strRef>
          </c:cat>
          <c:val>
            <c:numRef>
              <c:f>Projection!$E$5:$E$35</c:f>
              <c:numCache>
                <c:formatCode>\$#,##0;"($"#,##0\);\-</c:formatCode>
                <c:ptCount val="31"/>
                <c:pt idx="0">
                  <c:v>0</c:v>
                </c:pt>
                <c:pt idx="1">
                  <c:v>18773.1</c:v>
                </c:pt>
                <c:pt idx="2">
                  <c:v>39722.00229</c:v>
                </c:pt>
                <c:pt idx="3">
                  <c:v>63050.504076711</c:v>
                </c:pt>
                <c:pt idx="4">
                  <c:v>88980.4156206005</c:v>
                </c:pt>
                <c:pt idx="5">
                  <c:v>117753.122763421</c:v>
                </c:pt>
                <c:pt idx="6">
                  <c:v>149631.28413304</c:v>
                </c:pt>
                <c:pt idx="7">
                  <c:v>184900.674608037</c:v>
                </c:pt>
                <c:pt idx="8">
                  <c:v>223872.187619875</c:v>
                </c:pt>
                <c:pt idx="9">
                  <c:v>266884.00995132</c:v>
                </c:pt>
                <c:pt idx="10">
                  <c:v>314303.983863483</c:v>
                </c:pt>
                <c:pt idx="11">
                  <c:v>366532.172658422</c:v>
                </c:pt>
                <c:pt idx="12">
                  <c:v>424003.647168277</c:v>
                </c:pt>
                <c:pt idx="13">
                  <c:v>487191.512164885</c:v>
                </c:pt>
                <c:pt idx="14">
                  <c:v>556610.193315846</c:v>
                </c:pt>
                <c:pt idx="15">
                  <c:v>632819.007085354</c:v>
                </c:pt>
                <c:pt idx="16">
                  <c:v>716426.037902574</c:v>
                </c:pt>
                <c:pt idx="17">
                  <c:v>808092.349010251</c:v>
                </c:pt>
                <c:pt idx="18">
                  <c:v>908536.555675632</c:v>
                </c:pt>
                <c:pt idx="19">
                  <c:v>1018539.79191013</c:v>
                </c:pt>
                <c:pt idx="20">
                  <c:v>1138951.10452023</c:v>
                </c:pt>
                <c:pt idx="21">
                  <c:v>1270693.3112181</c:v>
                </c:pt>
                <c:pt idx="22">
                  <c:v>1414769.36267589</c:v>
                </c:pt>
                <c:pt idx="23">
                  <c:v>1572269.25183463</c:v>
                </c:pt>
                <c:pt idx="24">
                  <c:v>1744377.51749926</c:v>
                </c:pt>
                <c:pt idx="25">
                  <c:v>1932381.39329244</c:v>
                </c:pt>
                <c:pt idx="26">
                  <c:v>2137679.65742745</c:v>
                </c:pt>
                <c:pt idx="27">
                  <c:v>2361792.24352519</c:v>
                </c:pt>
                <c:pt idx="28">
                  <c:v>2606370.67787448</c:v>
                </c:pt>
                <c:pt idx="29">
                  <c:v>2873209.41415328</c:v>
                </c:pt>
                <c:pt idx="30">
                  <c:v>3164258.14272991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883582"/>
        <c:axId val="17306044"/>
      </c:lineChart>
      <c:catAx>
        <c:axId val="908835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06044"/>
        <c:crosses val="autoZero"/>
        <c:auto val="1"/>
        <c:lblAlgn val="ctr"/>
        <c:lblOffset val="100"/>
        <c:noMultiLvlLbl val="0"/>
      </c:catAx>
      <c:valAx>
        <c:axId val="173060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835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160560</xdr:rowOff>
    </xdr:from>
    <xdr:to>
      <xdr:col>16</xdr:col>
      <xdr:colOff>38880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12946320" y="380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160920</xdr:rowOff>
    </xdr:from>
    <xdr:to>
      <xdr:col>19</xdr:col>
      <xdr:colOff>4680</xdr:colOff>
      <xdr:row>18</xdr:row>
      <xdr:rowOff>162000</xdr:rowOff>
    </xdr:to>
    <xdr:graphicFrame>
      <xdr:nvGraphicFramePr>
        <xdr:cNvPr id="1" name="Chart 1"/>
        <xdr:cNvGraphicFramePr/>
      </xdr:nvGraphicFramePr>
      <xdr:xfrm>
        <a:off x="9633600" y="5716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/>
      <c r="C3" s="4"/>
      <c r="D3" s="4"/>
      <c r="E3" s="4"/>
      <c r="F3" s="4"/>
      <c r="G3" s="4"/>
      <c r="H3" s="4"/>
    </row>
    <row r="4" customFormat="false" ht="15" hidden="false" customHeight="false" outlineLevel="0" collapsed="false">
      <c r="A4" s="5" t="s">
        <v>3</v>
      </c>
      <c r="B4" s="6" t="n">
        <v>1500</v>
      </c>
      <c r="C4" s="7" t="s">
        <v>4</v>
      </c>
    </row>
    <row r="5" customFormat="false" ht="15" hidden="false" customHeight="false" outlineLevel="0" collapsed="false">
      <c r="A5" s="5" t="s">
        <v>5</v>
      </c>
      <c r="B5" s="8" t="n">
        <f aca="false">Holdings!G17</f>
        <v>0</v>
      </c>
      <c r="C5" s="7" t="s">
        <v>6</v>
      </c>
    </row>
    <row r="6" customFormat="false" ht="15" hidden="false" customHeight="false" outlineLevel="0" collapsed="false">
      <c r="A6" s="5" t="s">
        <v>7</v>
      </c>
      <c r="B6" s="9" t="n">
        <v>0.03</v>
      </c>
      <c r="C6" s="7" t="s">
        <v>8</v>
      </c>
    </row>
    <row r="7" customFormat="false" ht="15" hidden="false" customHeight="false" outlineLevel="0" collapsed="false">
      <c r="A7" s="5" t="s">
        <v>9</v>
      </c>
      <c r="B7" s="9" t="n">
        <v>0.025</v>
      </c>
      <c r="C7" s="7" t="s">
        <v>10</v>
      </c>
    </row>
    <row r="8" customFormat="false" ht="15" hidden="false" customHeight="false" outlineLevel="0" collapsed="false">
      <c r="A8" s="5" t="s">
        <v>11</v>
      </c>
      <c r="B8" s="10" t="n">
        <v>0.05</v>
      </c>
      <c r="C8" s="7" t="s">
        <v>12</v>
      </c>
    </row>
    <row r="9" customFormat="false" ht="15" hidden="false" customHeight="false" outlineLevel="0" collapsed="false">
      <c r="A9" s="5" t="s">
        <v>13</v>
      </c>
      <c r="B9" s="10" t="n">
        <v>0.02</v>
      </c>
      <c r="C9" s="7" t="s">
        <v>14</v>
      </c>
    </row>
    <row r="11" customFormat="false" ht="15" hidden="false" customHeight="false" outlineLevel="0" collapsed="false">
      <c r="A11" s="3" t="s">
        <v>15</v>
      </c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11" t="s">
        <v>16</v>
      </c>
      <c r="B12" s="12" t="s">
        <v>17</v>
      </c>
      <c r="C12" s="12" t="s">
        <v>18</v>
      </c>
      <c r="D12" s="12" t="s">
        <v>19</v>
      </c>
    </row>
    <row r="13" customFormat="false" ht="15" hidden="false" customHeight="false" outlineLevel="0" collapsed="false">
      <c r="A13" s="5" t="s">
        <v>20</v>
      </c>
      <c r="B13" s="9" t="n">
        <v>0.07</v>
      </c>
      <c r="C13" s="13" t="n">
        <f aca="false">SUMIF($C$22:$C$32,A13,$D$22:$D$32)</f>
        <v>0.33</v>
      </c>
      <c r="D13" s="7" t="s">
        <v>21</v>
      </c>
    </row>
    <row r="14" customFormat="false" ht="15" hidden="false" customHeight="false" outlineLevel="0" collapsed="false">
      <c r="A14" s="5" t="s">
        <v>22</v>
      </c>
      <c r="B14" s="9" t="n">
        <v>0.065</v>
      </c>
      <c r="C14" s="13" t="n">
        <f aca="false">SUMIF($C$22:$C$32,A14,$D$22:$D$32)</f>
        <v>0.12</v>
      </c>
      <c r="D14" s="7" t="s">
        <v>23</v>
      </c>
    </row>
    <row r="15" customFormat="false" ht="15" hidden="false" customHeight="false" outlineLevel="0" collapsed="false">
      <c r="A15" s="5" t="s">
        <v>24</v>
      </c>
      <c r="B15" s="9" t="n">
        <v>0.065</v>
      </c>
      <c r="C15" s="13" t="n">
        <f aca="false">SUMIF($C$22:$C$32,A15,$D$22:$D$32)</f>
        <v>0.05</v>
      </c>
      <c r="D15" s="7" t="s">
        <v>25</v>
      </c>
    </row>
    <row r="16" customFormat="false" ht="15" hidden="false" customHeight="false" outlineLevel="0" collapsed="false">
      <c r="A16" s="5" t="s">
        <v>26</v>
      </c>
      <c r="B16" s="9" t="n">
        <v>0.08</v>
      </c>
      <c r="C16" s="13" t="n">
        <f aca="false">SUMIF($C$22:$C$32,A16,$D$22:$D$32)</f>
        <v>0.3</v>
      </c>
      <c r="D16" s="7" t="s">
        <v>27</v>
      </c>
    </row>
    <row r="17" customFormat="false" ht="15" hidden="false" customHeight="false" outlineLevel="0" collapsed="false">
      <c r="A17" s="5" t="s">
        <v>28</v>
      </c>
      <c r="B17" s="9" t="n">
        <v>0.04</v>
      </c>
      <c r="C17" s="13" t="n">
        <f aca="false">SUMIF($C$22:$C$32,A17,$D$22:$D$32)</f>
        <v>0.15</v>
      </c>
      <c r="D17" s="7" t="s">
        <v>29</v>
      </c>
    </row>
    <row r="18" customFormat="false" ht="15" hidden="false" customHeight="false" outlineLevel="0" collapsed="false">
      <c r="A18" s="5" t="s">
        <v>30</v>
      </c>
      <c r="B18" s="9" t="n">
        <v>0.035</v>
      </c>
      <c r="C18" s="13" t="n">
        <f aca="false">SUMIF($C$22:$C$32,A18,$D$22:$D$32)</f>
        <v>0.05</v>
      </c>
      <c r="D18" s="7" t="s">
        <v>31</v>
      </c>
    </row>
    <row r="20" customFormat="false" ht="15" hidden="false" customHeight="false" outlineLevel="0" collapsed="false">
      <c r="A20" s="3" t="s">
        <v>32</v>
      </c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11" t="s">
        <v>33</v>
      </c>
      <c r="B21" s="12" t="s">
        <v>34</v>
      </c>
      <c r="C21" s="12" t="s">
        <v>16</v>
      </c>
      <c r="D21" s="12" t="s">
        <v>35</v>
      </c>
      <c r="E21" s="12" t="s">
        <v>36</v>
      </c>
      <c r="F21" s="12" t="s">
        <v>37</v>
      </c>
      <c r="G21" s="12" t="s">
        <v>38</v>
      </c>
    </row>
    <row r="22" customFormat="false" ht="15" hidden="false" customHeight="false" outlineLevel="0" collapsed="false">
      <c r="A22" s="14" t="s">
        <v>39</v>
      </c>
      <c r="B22" s="14" t="s">
        <v>40</v>
      </c>
      <c r="C22" s="14" t="s">
        <v>20</v>
      </c>
      <c r="D22" s="9" t="n">
        <v>0.33</v>
      </c>
      <c r="E22" s="13" t="n">
        <f aca="false">IFERROR(INDEX($B$13:$B$18,MATCH(C22,$A$13:$A$18,0)),0)</f>
        <v>0.07</v>
      </c>
      <c r="F22" s="15" t="n">
        <f aca="false">D22*$B$4</f>
        <v>495</v>
      </c>
      <c r="G22" s="15" t="n">
        <f aca="false">F22*12</f>
        <v>5940</v>
      </c>
    </row>
    <row r="23" customFormat="false" ht="15" hidden="false" customHeight="false" outlineLevel="0" collapsed="false">
      <c r="A23" s="14" t="s">
        <v>41</v>
      </c>
      <c r="B23" s="14" t="s">
        <v>42</v>
      </c>
      <c r="C23" s="14" t="s">
        <v>22</v>
      </c>
      <c r="D23" s="9" t="n">
        <v>0.12</v>
      </c>
      <c r="E23" s="13" t="n">
        <f aca="false">IFERROR(INDEX($B$13:$B$18,MATCH(C23,$A$13:$A$18,0)),0)</f>
        <v>0.065</v>
      </c>
      <c r="F23" s="15" t="n">
        <f aca="false">D23*$B$4</f>
        <v>180</v>
      </c>
      <c r="G23" s="15" t="n">
        <f aca="false">F23*12</f>
        <v>2160</v>
      </c>
    </row>
    <row r="24" customFormat="false" ht="15" hidden="false" customHeight="false" outlineLevel="0" collapsed="false">
      <c r="A24" s="14" t="s">
        <v>43</v>
      </c>
      <c r="B24" s="14" t="s">
        <v>44</v>
      </c>
      <c r="C24" s="14" t="s">
        <v>24</v>
      </c>
      <c r="D24" s="9" t="n">
        <v>0.05</v>
      </c>
      <c r="E24" s="13" t="n">
        <f aca="false">IFERROR(INDEX($B$13:$B$18,MATCH(C24,$A$13:$A$18,0)),0)</f>
        <v>0.065</v>
      </c>
      <c r="F24" s="15" t="n">
        <f aca="false">D24*$B$4</f>
        <v>75</v>
      </c>
      <c r="G24" s="15" t="n">
        <f aca="false">F24*12</f>
        <v>900</v>
      </c>
    </row>
    <row r="25" customFormat="false" ht="15" hidden="false" customHeight="false" outlineLevel="0" collapsed="false">
      <c r="A25" s="14" t="s">
        <v>45</v>
      </c>
      <c r="B25" s="14" t="s">
        <v>46</v>
      </c>
      <c r="C25" s="14" t="s">
        <v>26</v>
      </c>
      <c r="D25" s="9" t="n">
        <v>0.06</v>
      </c>
      <c r="E25" s="13" t="n">
        <f aca="false">IFERROR(INDEX($B$13:$B$18,MATCH(C25,$A$13:$A$18,0)),0)</f>
        <v>0.08</v>
      </c>
      <c r="F25" s="15" t="n">
        <f aca="false">D25*$B$4</f>
        <v>90</v>
      </c>
      <c r="G25" s="15" t="n">
        <f aca="false">F25*12</f>
        <v>1080</v>
      </c>
    </row>
    <row r="26" customFormat="false" ht="15" hidden="false" customHeight="false" outlineLevel="0" collapsed="false">
      <c r="A26" s="14" t="s">
        <v>47</v>
      </c>
      <c r="B26" s="14" t="s">
        <v>48</v>
      </c>
      <c r="C26" s="14" t="s">
        <v>26</v>
      </c>
      <c r="D26" s="9" t="n">
        <v>0.06</v>
      </c>
      <c r="E26" s="13" t="n">
        <f aca="false">IFERROR(INDEX($B$13:$B$18,MATCH(C26,$A$13:$A$18,0)),0)</f>
        <v>0.08</v>
      </c>
      <c r="F26" s="15" t="n">
        <f aca="false">D26*$B$4</f>
        <v>90</v>
      </c>
      <c r="G26" s="15" t="n">
        <f aca="false">F26*12</f>
        <v>1080</v>
      </c>
    </row>
    <row r="27" customFormat="false" ht="15" hidden="false" customHeight="false" outlineLevel="0" collapsed="false">
      <c r="A27" s="14" t="s">
        <v>49</v>
      </c>
      <c r="B27" s="14" t="s">
        <v>50</v>
      </c>
      <c r="C27" s="14" t="s">
        <v>26</v>
      </c>
      <c r="D27" s="9" t="n">
        <v>0.06</v>
      </c>
      <c r="E27" s="13" t="n">
        <f aca="false">IFERROR(INDEX($B$13:$B$18,MATCH(C27,$A$13:$A$18,0)),0)</f>
        <v>0.08</v>
      </c>
      <c r="F27" s="15" t="n">
        <f aca="false">D27*$B$4</f>
        <v>90</v>
      </c>
      <c r="G27" s="15" t="n">
        <f aca="false">F27*12</f>
        <v>1080</v>
      </c>
    </row>
    <row r="28" customFormat="false" ht="15" hidden="false" customHeight="false" outlineLevel="0" collapsed="false">
      <c r="A28" s="14" t="s">
        <v>51</v>
      </c>
      <c r="B28" s="14" t="s">
        <v>52</v>
      </c>
      <c r="C28" s="14" t="s">
        <v>26</v>
      </c>
      <c r="D28" s="9" t="n">
        <v>0.06</v>
      </c>
      <c r="E28" s="13" t="n">
        <f aca="false">IFERROR(INDEX($B$13:$B$18,MATCH(C28,$A$13:$A$18,0)),0)</f>
        <v>0.08</v>
      </c>
      <c r="F28" s="15" t="n">
        <f aca="false">D28*$B$4</f>
        <v>90</v>
      </c>
      <c r="G28" s="15" t="n">
        <f aca="false">F28*12</f>
        <v>1080</v>
      </c>
    </row>
    <row r="29" customFormat="false" ht="15" hidden="false" customHeight="false" outlineLevel="0" collapsed="false">
      <c r="A29" s="14" t="s">
        <v>53</v>
      </c>
      <c r="B29" s="14" t="s">
        <v>54</v>
      </c>
      <c r="C29" s="14" t="s">
        <v>26</v>
      </c>
      <c r="D29" s="9" t="n">
        <v>0.06</v>
      </c>
      <c r="E29" s="13" t="n">
        <f aca="false">IFERROR(INDEX($B$13:$B$18,MATCH(C29,$A$13:$A$18,0)),0)</f>
        <v>0.08</v>
      </c>
      <c r="F29" s="15" t="n">
        <f aca="false">D29*$B$4</f>
        <v>90</v>
      </c>
      <c r="G29" s="15" t="n">
        <f aca="false">F29*12</f>
        <v>1080</v>
      </c>
    </row>
    <row r="30" customFormat="false" ht="15" hidden="false" customHeight="false" outlineLevel="0" collapsed="false">
      <c r="A30" s="14" t="s">
        <v>55</v>
      </c>
      <c r="B30" s="14" t="s">
        <v>56</v>
      </c>
      <c r="C30" s="14" t="s">
        <v>28</v>
      </c>
      <c r="D30" s="9" t="n">
        <v>0.15</v>
      </c>
      <c r="E30" s="13" t="n">
        <f aca="false">IFERROR(INDEX($B$13:$B$18,MATCH(C30,$A$13:$A$18,0)),0)</f>
        <v>0.04</v>
      </c>
      <c r="F30" s="15" t="n">
        <f aca="false">D30*$B$4</f>
        <v>225</v>
      </c>
      <c r="G30" s="15" t="n">
        <f aca="false">F30*12</f>
        <v>2700</v>
      </c>
    </row>
    <row r="31" customFormat="false" ht="15" hidden="false" customHeight="false" outlineLevel="0" collapsed="false">
      <c r="A31" s="14" t="s">
        <v>57</v>
      </c>
      <c r="B31" s="14" t="s">
        <v>58</v>
      </c>
      <c r="C31" s="14" t="s">
        <v>30</v>
      </c>
      <c r="D31" s="9" t="n">
        <v>0.05</v>
      </c>
      <c r="E31" s="13" t="n">
        <f aca="false">IFERROR(INDEX($B$13:$B$18,MATCH(C31,$A$13:$A$18,0)),0)</f>
        <v>0.035</v>
      </c>
      <c r="F31" s="15" t="n">
        <f aca="false">D31*$B$4</f>
        <v>75</v>
      </c>
      <c r="G31" s="15" t="n">
        <f aca="false">F31*12</f>
        <v>900</v>
      </c>
    </row>
    <row r="32" customFormat="false" ht="15" hidden="false" customHeight="false" outlineLevel="0" collapsed="false">
      <c r="A32" s="14"/>
      <c r="B32" s="14" t="s">
        <v>59</v>
      </c>
      <c r="C32" s="14" t="s">
        <v>26</v>
      </c>
      <c r="D32" s="9" t="n">
        <v>0</v>
      </c>
      <c r="E32" s="13" t="n">
        <f aca="false">IFERROR(INDEX($B$13:$B$18,MATCH(C32,$A$13:$A$18,0)),0)</f>
        <v>0.08</v>
      </c>
      <c r="F32" s="15" t="n">
        <f aca="false">D32*$B$4</f>
        <v>0</v>
      </c>
      <c r="G32" s="15" t="n">
        <f aca="false">F32*12</f>
        <v>0</v>
      </c>
    </row>
    <row r="33" customFormat="false" ht="15" hidden="false" customHeight="false" outlineLevel="0" collapsed="false">
      <c r="A33" s="16" t="s">
        <v>60</v>
      </c>
      <c r="D33" s="17" t="n">
        <f aca="false">SUM(D22:D32)</f>
        <v>1</v>
      </c>
      <c r="E33" s="17" t="n">
        <f aca="false">SUMPRODUCT(D22:D32,E22:E32)</f>
        <v>0.0659</v>
      </c>
      <c r="F33" s="18" t="n">
        <f aca="false">SUM(F22:F32)</f>
        <v>1500</v>
      </c>
      <c r="G33" s="18" t="n">
        <f aca="false">SUM(G22:G32)</f>
        <v>18000</v>
      </c>
      <c r="H33" s="16" t="str">
        <f aca="false">IF(ABS(D33-1)&lt;0.0001,"OK - totals 100%","CHECK: weights must total 100%")</f>
        <v>OK - totals 100%</v>
      </c>
    </row>
    <row r="35" customFormat="false" ht="15" hidden="false" customHeight="false" outlineLevel="0" collapsed="false">
      <c r="A35" s="3" t="s">
        <v>61</v>
      </c>
      <c r="B35" s="4"/>
      <c r="C35" s="4"/>
      <c r="D35" s="4"/>
      <c r="E35" s="4"/>
      <c r="F35" s="4"/>
      <c r="G35" s="4"/>
      <c r="H35" s="4"/>
    </row>
    <row r="36" customFormat="false" ht="15" hidden="false" customHeight="false" outlineLevel="0" collapsed="false">
      <c r="A36" s="5" t="s">
        <v>62</v>
      </c>
      <c r="B36" s="13" t="n">
        <f aca="false">E33</f>
        <v>0.0659</v>
      </c>
    </row>
    <row r="37" customFormat="false" ht="15" hidden="false" customHeight="false" outlineLevel="0" collapsed="false">
      <c r="A37" s="5" t="s">
        <v>63</v>
      </c>
      <c r="B37" s="13" t="n">
        <f aca="false">C13+C14+C15+C16</f>
        <v>0.8</v>
      </c>
    </row>
    <row r="38" customFormat="false" ht="15" hidden="false" customHeight="false" outlineLevel="0" collapsed="false">
      <c r="A38" s="5" t="s">
        <v>64</v>
      </c>
      <c r="B38" s="13" t="n">
        <f aca="false">C16</f>
        <v>0.3</v>
      </c>
    </row>
    <row r="39" customFormat="false" ht="15" hidden="false" customHeight="false" outlineLevel="0" collapsed="false">
      <c r="A39" s="5" t="s">
        <v>65</v>
      </c>
      <c r="B39" s="13" t="n">
        <f aca="false">SUMPRODUCT(MAX((C22:C32="Individual Stocks")*D22:D32))</f>
        <v>0.06</v>
      </c>
      <c r="C39" s="7" t="str">
        <f aca="false">IF(B39&gt;0.1,"Note: a single stock above 10% adds concentration risk","")</f>
        <v/>
      </c>
    </row>
    <row r="40" customFormat="false" ht="15" hidden="false" customHeight="false" outlineLevel="0" collapsed="false">
      <c r="A40" s="5" t="s">
        <v>66</v>
      </c>
      <c r="B40" s="19" t="n">
        <f aca="false">INDEX(Projection!C5:C35,MATCH(10,Projection!A5:A35,0))</f>
        <v>284409.525149946</v>
      </c>
    </row>
    <row r="41" customFormat="false" ht="15" hidden="false" customHeight="false" outlineLevel="0" collapsed="false">
      <c r="A41" s="5" t="s">
        <v>67</v>
      </c>
      <c r="B41" s="19" t="n">
        <f aca="false">INDEX(Projection!C5:C35,MATCH(20,Projection!A5:A35,0))</f>
        <v>920627.216306978</v>
      </c>
    </row>
    <row r="42" customFormat="false" ht="15" hidden="false" customHeight="false" outlineLevel="0" collapsed="false">
      <c r="A42" s="5" t="s">
        <v>68</v>
      </c>
      <c r="B42" s="19" t="n">
        <f aca="false">INDEX(Projection!C5:C35,MATCH(30,Projection!A5:A35,0))</f>
        <v>2256478.77214064</v>
      </c>
    </row>
    <row r="43" customFormat="false" ht="15" hidden="false" customHeight="false" outlineLevel="0" collapsed="false">
      <c r="A43" s="5" t="s">
        <v>69</v>
      </c>
      <c r="B43" s="8" t="n">
        <f aca="false">INDEX(Projection!G5:G35,MATCH(30,Projection!A5:A35,0))</f>
        <v>1075759.74888419</v>
      </c>
    </row>
    <row r="44" customFormat="false" ht="15" hidden="false" customHeight="false" outlineLevel="0" collapsed="false">
      <c r="A44" s="5" t="s">
        <v>70</v>
      </c>
      <c r="B44" s="8" t="n">
        <f aca="false">INDEX(Projection!F5:F35,MATCH(30,Projection!A5:A35,0))</f>
        <v>856357.482713796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7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8" min="7" style="0" width="14"/>
    <col collapsed="false" customWidth="true" hidden="false" outlineLevel="0" max="9" min="9" style="0" width="13"/>
    <col collapsed="false" customWidth="true" hidden="false" outlineLevel="0" max="13" min="10" style="0" width="10"/>
    <col collapsed="false" customWidth="true" hidden="false" outlineLevel="0" max="15" min="14" style="0" width="13"/>
    <col collapsed="false" customWidth="true" hidden="false" outlineLevel="0" max="16" min="16" style="0" width="15"/>
    <col collapsed="false" customWidth="true" hidden="false" outlineLevel="0" max="17" min="17" style="0" width="13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3" customFormat="false" ht="15" hidden="false" customHeight="false" outlineLevel="0" collapsed="false">
      <c r="A3" s="20" t="s">
        <v>73</v>
      </c>
    </row>
    <row r="5" customFormat="false" ht="30" hidden="false" customHeight="true" outlineLevel="0" collapsed="false">
      <c r="A5" s="11" t="s">
        <v>33</v>
      </c>
      <c r="B5" s="12" t="s">
        <v>34</v>
      </c>
      <c r="C5" s="12" t="s">
        <v>16</v>
      </c>
      <c r="D5" s="12" t="s">
        <v>74</v>
      </c>
      <c r="E5" s="12" t="s">
        <v>75</v>
      </c>
      <c r="F5" s="12" t="s">
        <v>76</v>
      </c>
      <c r="G5" s="12" t="s">
        <v>77</v>
      </c>
      <c r="H5" s="12" t="s">
        <v>78</v>
      </c>
      <c r="I5" s="12" t="s">
        <v>79</v>
      </c>
      <c r="J5" s="12" t="s">
        <v>80</v>
      </c>
      <c r="K5" s="12" t="s">
        <v>81</v>
      </c>
      <c r="L5" s="12" t="s">
        <v>82</v>
      </c>
      <c r="M5" s="12" t="s">
        <v>83</v>
      </c>
      <c r="N5" s="12" t="s">
        <v>84</v>
      </c>
      <c r="O5" s="12" t="s">
        <v>85</v>
      </c>
      <c r="P5" s="12" t="s">
        <v>86</v>
      </c>
      <c r="Q5" s="12" t="s">
        <v>87</v>
      </c>
    </row>
    <row r="6" customFormat="false" ht="15" hidden="false" customHeight="false" outlineLevel="0" collapsed="false">
      <c r="A6" s="21" t="str">
        <f aca="false">IF(Plan!A22="","",Plan!A22)</f>
        <v>VTI</v>
      </c>
      <c r="B6" s="21" t="str">
        <f aca="false">Plan!B22</f>
        <v>Vanguard Total Stock Market ETF</v>
      </c>
      <c r="C6" s="21" t="str">
        <f aca="false">Plan!C22</f>
        <v>US Equity ETF</v>
      </c>
      <c r="D6" s="22" t="n">
        <v>0</v>
      </c>
      <c r="E6" s="23" t="n">
        <v>0</v>
      </c>
      <c r="F6" s="23" t="n">
        <v>0</v>
      </c>
      <c r="G6" s="15" t="n">
        <f aca="false">D6*F6</f>
        <v>0</v>
      </c>
      <c r="H6" s="15" t="n">
        <f aca="false">D6*E6</f>
        <v>0</v>
      </c>
      <c r="I6" s="15" t="n">
        <f aca="false">G6-H6</f>
        <v>0</v>
      </c>
      <c r="J6" s="13" t="n">
        <f aca="false">IF(H6&gt;0,I6/H6,0)</f>
        <v>0</v>
      </c>
      <c r="K6" s="13" t="n">
        <f aca="false">IF(G$17&gt;0,G6/G$17,0)</f>
        <v>0</v>
      </c>
      <c r="L6" s="24" t="n">
        <f aca="false">Plan!D22</f>
        <v>0.33</v>
      </c>
      <c r="M6" s="13" t="n">
        <f aca="false">IF(G$17&gt;0,K6-L6,0)</f>
        <v>0</v>
      </c>
      <c r="N6" s="25" t="str">
        <f aca="false">IF(G$17=0,"-",IF(ABS(M6)&gt;Plan!$B$8,IF(M6&gt;0,"Overweight","Underweight"),"OK"))</f>
        <v>-</v>
      </c>
      <c r="O6" s="15" t="n">
        <f aca="false">MAX(0,L6*(G$17+Plan!$B$4)-G6)</f>
        <v>495</v>
      </c>
      <c r="P6" s="18" t="n">
        <f aca="false">IF(O$17=0,L6*Plan!$B$4,O6/O$17*Plan!$B$4)</f>
        <v>495</v>
      </c>
      <c r="Q6" s="26" t="str">
        <f aca="false">IF(F6&gt;0,P6/F6,"enter price")</f>
        <v>enter price</v>
      </c>
    </row>
    <row r="7" customFormat="false" ht="15" hidden="false" customHeight="false" outlineLevel="0" collapsed="false">
      <c r="A7" s="21" t="str">
        <f aca="false">IF(Plan!A23="","",Plan!A23)</f>
        <v>VXUS</v>
      </c>
      <c r="B7" s="21" t="str">
        <f aca="false">Plan!B23</f>
        <v>Vanguard Total International Stock ETF</v>
      </c>
      <c r="C7" s="21" t="str">
        <f aca="false">Plan!C23</f>
        <v>Intl Equity ETF</v>
      </c>
      <c r="D7" s="22" t="n">
        <v>0</v>
      </c>
      <c r="E7" s="23" t="n">
        <v>0</v>
      </c>
      <c r="F7" s="23" t="n">
        <v>0</v>
      </c>
      <c r="G7" s="15" t="n">
        <f aca="false">D7*F7</f>
        <v>0</v>
      </c>
      <c r="H7" s="15" t="n">
        <f aca="false">D7*E7</f>
        <v>0</v>
      </c>
      <c r="I7" s="15" t="n">
        <f aca="false">G7-H7</f>
        <v>0</v>
      </c>
      <c r="J7" s="13" t="n">
        <f aca="false">IF(H7&gt;0,I7/H7,0)</f>
        <v>0</v>
      </c>
      <c r="K7" s="13" t="n">
        <f aca="false">IF(G$17&gt;0,G7/G$17,0)</f>
        <v>0</v>
      </c>
      <c r="L7" s="24" t="n">
        <f aca="false">Plan!D23</f>
        <v>0.12</v>
      </c>
      <c r="M7" s="13" t="n">
        <f aca="false">IF(G$17&gt;0,K7-L7,0)</f>
        <v>0</v>
      </c>
      <c r="N7" s="25" t="str">
        <f aca="false">IF(G$17=0,"-",IF(ABS(M7)&gt;Plan!$B$8,IF(M7&gt;0,"Overweight","Underweight"),"OK"))</f>
        <v>-</v>
      </c>
      <c r="O7" s="15" t="n">
        <f aca="false">MAX(0,L7*(G$17+Plan!$B$4)-G7)</f>
        <v>180</v>
      </c>
      <c r="P7" s="18" t="n">
        <f aca="false">IF(O$17=0,L7*Plan!$B$4,O7/O$17*Plan!$B$4)</f>
        <v>180</v>
      </c>
      <c r="Q7" s="26" t="str">
        <f aca="false">IF(F7&gt;0,P7/F7,"enter price")</f>
        <v>enter price</v>
      </c>
    </row>
    <row r="8" customFormat="false" ht="15" hidden="false" customHeight="false" outlineLevel="0" collapsed="false">
      <c r="A8" s="21" t="str">
        <f aca="false">IF(Plan!A24="","",Plan!A24)</f>
        <v>SCHD</v>
      </c>
      <c r="B8" s="21" t="str">
        <f aca="false">Plan!B24</f>
        <v>Schwab US Dividend Equity ETF</v>
      </c>
      <c r="C8" s="21" t="str">
        <f aca="false">Plan!C24</f>
        <v>Dividend ETF</v>
      </c>
      <c r="D8" s="22" t="n">
        <v>0</v>
      </c>
      <c r="E8" s="23" t="n">
        <v>0</v>
      </c>
      <c r="F8" s="23" t="n">
        <v>0</v>
      </c>
      <c r="G8" s="15" t="n">
        <f aca="false">D8*F8</f>
        <v>0</v>
      </c>
      <c r="H8" s="15" t="n">
        <f aca="false">D8*E8</f>
        <v>0</v>
      </c>
      <c r="I8" s="15" t="n">
        <f aca="false">G8-H8</f>
        <v>0</v>
      </c>
      <c r="J8" s="13" t="n">
        <f aca="false">IF(H8&gt;0,I8/H8,0)</f>
        <v>0</v>
      </c>
      <c r="K8" s="13" t="n">
        <f aca="false">IF(G$17&gt;0,G8/G$17,0)</f>
        <v>0</v>
      </c>
      <c r="L8" s="24" t="n">
        <f aca="false">Plan!D24</f>
        <v>0.05</v>
      </c>
      <c r="M8" s="13" t="n">
        <f aca="false">IF(G$17&gt;0,K8-L8,0)</f>
        <v>0</v>
      </c>
      <c r="N8" s="25" t="str">
        <f aca="false">IF(G$17=0,"-",IF(ABS(M8)&gt;Plan!$B$8,IF(M8&gt;0,"Overweight","Underweight"),"OK"))</f>
        <v>-</v>
      </c>
      <c r="O8" s="15" t="n">
        <f aca="false">MAX(0,L8*(G$17+Plan!$B$4)-G8)</f>
        <v>75</v>
      </c>
      <c r="P8" s="18" t="n">
        <f aca="false">IF(O$17=0,L8*Plan!$B$4,O8/O$17*Plan!$B$4)</f>
        <v>75</v>
      </c>
      <c r="Q8" s="26" t="str">
        <f aca="false">IF(F8&gt;0,P8/F8,"enter price")</f>
        <v>enter price</v>
      </c>
    </row>
    <row r="9" customFormat="false" ht="15" hidden="false" customHeight="false" outlineLevel="0" collapsed="false">
      <c r="A9" s="21" t="str">
        <f aca="false">IF(Plan!A25="","",Plan!A25)</f>
        <v>NVDA</v>
      </c>
      <c r="B9" s="21" t="str">
        <f aca="false">Plan!B25</f>
        <v>NVIDIA</v>
      </c>
      <c r="C9" s="21" t="str">
        <f aca="false">Plan!C25</f>
        <v>Individual Stocks</v>
      </c>
      <c r="D9" s="22" t="n">
        <v>0</v>
      </c>
      <c r="E9" s="23" t="n">
        <v>0</v>
      </c>
      <c r="F9" s="23" t="n">
        <v>0</v>
      </c>
      <c r="G9" s="15" t="n">
        <f aca="false">D9*F9</f>
        <v>0</v>
      </c>
      <c r="H9" s="15" t="n">
        <f aca="false">D9*E9</f>
        <v>0</v>
      </c>
      <c r="I9" s="15" t="n">
        <f aca="false">G9-H9</f>
        <v>0</v>
      </c>
      <c r="J9" s="13" t="n">
        <f aca="false">IF(H9&gt;0,I9/H9,0)</f>
        <v>0</v>
      </c>
      <c r="K9" s="13" t="n">
        <f aca="false">IF(G$17&gt;0,G9/G$17,0)</f>
        <v>0</v>
      </c>
      <c r="L9" s="24" t="n">
        <f aca="false">Plan!D25</f>
        <v>0.06</v>
      </c>
      <c r="M9" s="13" t="n">
        <f aca="false">IF(G$17&gt;0,K9-L9,0)</f>
        <v>0</v>
      </c>
      <c r="N9" s="25" t="str">
        <f aca="false">IF(G$17=0,"-",IF(ABS(M9)&gt;Plan!$B$8,IF(M9&gt;0,"Overweight","Underweight"),"OK"))</f>
        <v>-</v>
      </c>
      <c r="O9" s="15" t="n">
        <f aca="false">MAX(0,L9*(G$17+Plan!$B$4)-G9)</f>
        <v>90</v>
      </c>
      <c r="P9" s="18" t="n">
        <f aca="false">IF(O$17=0,L9*Plan!$B$4,O9/O$17*Plan!$B$4)</f>
        <v>90</v>
      </c>
      <c r="Q9" s="26" t="str">
        <f aca="false">IF(F9&gt;0,P9/F9,"enter price")</f>
        <v>enter price</v>
      </c>
    </row>
    <row r="10" customFormat="false" ht="15" hidden="false" customHeight="false" outlineLevel="0" collapsed="false">
      <c r="A10" s="21" t="str">
        <f aca="false">IF(Plan!A26="","",Plan!A26)</f>
        <v>MSFT</v>
      </c>
      <c r="B10" s="21" t="str">
        <f aca="false">Plan!B26</f>
        <v>Microsoft</v>
      </c>
      <c r="C10" s="21" t="str">
        <f aca="false">Plan!C26</f>
        <v>Individual Stocks</v>
      </c>
      <c r="D10" s="22" t="n">
        <v>0</v>
      </c>
      <c r="E10" s="23" t="n">
        <v>0</v>
      </c>
      <c r="F10" s="23" t="n">
        <v>0</v>
      </c>
      <c r="G10" s="15" t="n">
        <f aca="false">D10*F10</f>
        <v>0</v>
      </c>
      <c r="H10" s="15" t="n">
        <f aca="false">D10*E10</f>
        <v>0</v>
      </c>
      <c r="I10" s="15" t="n">
        <f aca="false">G10-H10</f>
        <v>0</v>
      </c>
      <c r="J10" s="13" t="n">
        <f aca="false">IF(H10&gt;0,I10/H10,0)</f>
        <v>0</v>
      </c>
      <c r="K10" s="13" t="n">
        <f aca="false">IF(G$17&gt;0,G10/G$17,0)</f>
        <v>0</v>
      </c>
      <c r="L10" s="24" t="n">
        <f aca="false">Plan!D26</f>
        <v>0.06</v>
      </c>
      <c r="M10" s="13" t="n">
        <f aca="false">IF(G$17&gt;0,K10-L10,0)</f>
        <v>0</v>
      </c>
      <c r="N10" s="25" t="str">
        <f aca="false">IF(G$17=0,"-",IF(ABS(M10)&gt;Plan!$B$8,IF(M10&gt;0,"Overweight","Underweight"),"OK"))</f>
        <v>-</v>
      </c>
      <c r="O10" s="15" t="n">
        <f aca="false">MAX(0,L10*(G$17+Plan!$B$4)-G10)</f>
        <v>90</v>
      </c>
      <c r="P10" s="18" t="n">
        <f aca="false">IF(O$17=0,L10*Plan!$B$4,O10/O$17*Plan!$B$4)</f>
        <v>90</v>
      </c>
      <c r="Q10" s="26" t="str">
        <f aca="false">IF(F10&gt;0,P10/F10,"enter price")</f>
        <v>enter price</v>
      </c>
    </row>
    <row r="11" customFormat="false" ht="15" hidden="false" customHeight="false" outlineLevel="0" collapsed="false">
      <c r="A11" s="21" t="str">
        <f aca="false">IF(Plan!A27="","",Plan!A27)</f>
        <v>GOOGL</v>
      </c>
      <c r="B11" s="21" t="str">
        <f aca="false">Plan!B27</f>
        <v>Alphabet</v>
      </c>
      <c r="C11" s="21" t="str">
        <f aca="false">Plan!C27</f>
        <v>Individual Stocks</v>
      </c>
      <c r="D11" s="22" t="n">
        <v>0</v>
      </c>
      <c r="E11" s="23" t="n">
        <v>0</v>
      </c>
      <c r="F11" s="23" t="n">
        <v>0</v>
      </c>
      <c r="G11" s="15" t="n">
        <f aca="false">D11*F11</f>
        <v>0</v>
      </c>
      <c r="H11" s="15" t="n">
        <f aca="false">D11*E11</f>
        <v>0</v>
      </c>
      <c r="I11" s="15" t="n">
        <f aca="false">G11-H11</f>
        <v>0</v>
      </c>
      <c r="J11" s="13" t="n">
        <f aca="false">IF(H11&gt;0,I11/H11,0)</f>
        <v>0</v>
      </c>
      <c r="K11" s="13" t="n">
        <f aca="false">IF(G$17&gt;0,G11/G$17,0)</f>
        <v>0</v>
      </c>
      <c r="L11" s="24" t="n">
        <f aca="false">Plan!D27</f>
        <v>0.06</v>
      </c>
      <c r="M11" s="13" t="n">
        <f aca="false">IF(G$17&gt;0,K11-L11,0)</f>
        <v>0</v>
      </c>
      <c r="N11" s="25" t="str">
        <f aca="false">IF(G$17=0,"-",IF(ABS(M11)&gt;Plan!$B$8,IF(M11&gt;0,"Overweight","Underweight"),"OK"))</f>
        <v>-</v>
      </c>
      <c r="O11" s="15" t="n">
        <f aca="false">MAX(0,L11*(G$17+Plan!$B$4)-G11)</f>
        <v>90</v>
      </c>
      <c r="P11" s="18" t="n">
        <f aca="false">IF(O$17=0,L11*Plan!$B$4,O11/O$17*Plan!$B$4)</f>
        <v>90</v>
      </c>
      <c r="Q11" s="26" t="str">
        <f aca="false">IF(F11&gt;0,P11/F11,"enter price")</f>
        <v>enter price</v>
      </c>
    </row>
    <row r="12" customFormat="false" ht="15" hidden="false" customHeight="false" outlineLevel="0" collapsed="false">
      <c r="A12" s="21" t="str">
        <f aca="false">IF(Plan!A28="","",Plan!A28)</f>
        <v>AMZN</v>
      </c>
      <c r="B12" s="21" t="str">
        <f aca="false">Plan!B28</f>
        <v>Amazon</v>
      </c>
      <c r="C12" s="21" t="str">
        <f aca="false">Plan!C28</f>
        <v>Individual Stocks</v>
      </c>
      <c r="D12" s="22" t="n">
        <v>0</v>
      </c>
      <c r="E12" s="23" t="n">
        <v>0</v>
      </c>
      <c r="F12" s="23" t="n">
        <v>0</v>
      </c>
      <c r="G12" s="15" t="n">
        <f aca="false">D12*F12</f>
        <v>0</v>
      </c>
      <c r="H12" s="15" t="n">
        <f aca="false">D12*E12</f>
        <v>0</v>
      </c>
      <c r="I12" s="15" t="n">
        <f aca="false">G12-H12</f>
        <v>0</v>
      </c>
      <c r="J12" s="13" t="n">
        <f aca="false">IF(H12&gt;0,I12/H12,0)</f>
        <v>0</v>
      </c>
      <c r="K12" s="13" t="n">
        <f aca="false">IF(G$17&gt;0,G12/G$17,0)</f>
        <v>0</v>
      </c>
      <c r="L12" s="24" t="n">
        <f aca="false">Plan!D28</f>
        <v>0.06</v>
      </c>
      <c r="M12" s="13" t="n">
        <f aca="false">IF(G$17&gt;0,K12-L12,0)</f>
        <v>0</v>
      </c>
      <c r="N12" s="25" t="str">
        <f aca="false">IF(G$17=0,"-",IF(ABS(M12)&gt;Plan!$B$8,IF(M12&gt;0,"Overweight","Underweight"),"OK"))</f>
        <v>-</v>
      </c>
      <c r="O12" s="15" t="n">
        <f aca="false">MAX(0,L12*(G$17+Plan!$B$4)-G12)</f>
        <v>90</v>
      </c>
      <c r="P12" s="18" t="n">
        <f aca="false">IF(O$17=0,L12*Plan!$B$4,O12/O$17*Plan!$B$4)</f>
        <v>90</v>
      </c>
      <c r="Q12" s="26" t="str">
        <f aca="false">IF(F12&gt;0,P12/F12,"enter price")</f>
        <v>enter price</v>
      </c>
    </row>
    <row r="13" customFormat="false" ht="15" hidden="false" customHeight="false" outlineLevel="0" collapsed="false">
      <c r="A13" s="21" t="str">
        <f aca="false">IF(Plan!A29="","",Plan!A29)</f>
        <v>BRK.B</v>
      </c>
      <c r="B13" s="21" t="str">
        <f aca="false">Plan!B29</f>
        <v>Berkshire Hathaway</v>
      </c>
      <c r="C13" s="21" t="str">
        <f aca="false">Plan!C29</f>
        <v>Individual Stocks</v>
      </c>
      <c r="D13" s="22" t="n">
        <v>0</v>
      </c>
      <c r="E13" s="23" t="n">
        <v>0</v>
      </c>
      <c r="F13" s="23" t="n">
        <v>0</v>
      </c>
      <c r="G13" s="15" t="n">
        <f aca="false">D13*F13</f>
        <v>0</v>
      </c>
      <c r="H13" s="15" t="n">
        <f aca="false">D13*E13</f>
        <v>0</v>
      </c>
      <c r="I13" s="15" t="n">
        <f aca="false">G13-H13</f>
        <v>0</v>
      </c>
      <c r="J13" s="13" t="n">
        <f aca="false">IF(H13&gt;0,I13/H13,0)</f>
        <v>0</v>
      </c>
      <c r="K13" s="13" t="n">
        <f aca="false">IF(G$17&gt;0,G13/G$17,0)</f>
        <v>0</v>
      </c>
      <c r="L13" s="24" t="n">
        <f aca="false">Plan!D29</f>
        <v>0.06</v>
      </c>
      <c r="M13" s="13" t="n">
        <f aca="false">IF(G$17&gt;0,K13-L13,0)</f>
        <v>0</v>
      </c>
      <c r="N13" s="25" t="str">
        <f aca="false">IF(G$17=0,"-",IF(ABS(M13)&gt;Plan!$B$8,IF(M13&gt;0,"Overweight","Underweight"),"OK"))</f>
        <v>-</v>
      </c>
      <c r="O13" s="15" t="n">
        <f aca="false">MAX(0,L13*(G$17+Plan!$B$4)-G13)</f>
        <v>90</v>
      </c>
      <c r="P13" s="18" t="n">
        <f aca="false">IF(O$17=0,L13*Plan!$B$4,O13/O$17*Plan!$B$4)</f>
        <v>90</v>
      </c>
      <c r="Q13" s="26" t="str">
        <f aca="false">IF(F13&gt;0,P13/F13,"enter price")</f>
        <v>enter price</v>
      </c>
    </row>
    <row r="14" customFormat="false" ht="15" hidden="false" customHeight="false" outlineLevel="0" collapsed="false">
      <c r="A14" s="21" t="str">
        <f aca="false">IF(Plan!A30="","",Plan!A30)</f>
        <v>BND</v>
      </c>
      <c r="B14" s="21" t="str">
        <f aca="false">Plan!B30</f>
        <v>Vanguard Total Bond Market ETF</v>
      </c>
      <c r="C14" s="21" t="str">
        <f aca="false">Plan!C30</f>
        <v>Bonds</v>
      </c>
      <c r="D14" s="22" t="n">
        <v>0</v>
      </c>
      <c r="E14" s="23" t="n">
        <v>0</v>
      </c>
      <c r="F14" s="23" t="n">
        <v>0</v>
      </c>
      <c r="G14" s="15" t="n">
        <f aca="false">D14*F14</f>
        <v>0</v>
      </c>
      <c r="H14" s="15" t="n">
        <f aca="false">D14*E14</f>
        <v>0</v>
      </c>
      <c r="I14" s="15" t="n">
        <f aca="false">G14-H14</f>
        <v>0</v>
      </c>
      <c r="J14" s="13" t="n">
        <f aca="false">IF(H14&gt;0,I14/H14,0)</f>
        <v>0</v>
      </c>
      <c r="K14" s="13" t="n">
        <f aca="false">IF(G$17&gt;0,G14/G$17,0)</f>
        <v>0</v>
      </c>
      <c r="L14" s="24" t="n">
        <f aca="false">Plan!D30</f>
        <v>0.15</v>
      </c>
      <c r="M14" s="13" t="n">
        <f aca="false">IF(G$17&gt;0,K14-L14,0)</f>
        <v>0</v>
      </c>
      <c r="N14" s="25" t="str">
        <f aca="false">IF(G$17=0,"-",IF(ABS(M14)&gt;Plan!$B$8,IF(M14&gt;0,"Overweight","Underweight"),"OK"))</f>
        <v>-</v>
      </c>
      <c r="O14" s="15" t="n">
        <f aca="false">MAX(0,L14*(G$17+Plan!$B$4)-G14)</f>
        <v>225</v>
      </c>
      <c r="P14" s="18" t="n">
        <f aca="false">IF(O$17=0,L14*Plan!$B$4,O14/O$17*Plan!$B$4)</f>
        <v>225</v>
      </c>
      <c r="Q14" s="26" t="str">
        <f aca="false">IF(F14&gt;0,P14/F14,"enter price")</f>
        <v>enter price</v>
      </c>
    </row>
    <row r="15" customFormat="false" ht="15" hidden="false" customHeight="false" outlineLevel="0" collapsed="false">
      <c r="A15" s="21" t="str">
        <f aca="false">IF(Plan!A31="","",Plan!A31)</f>
        <v>SGOV</v>
      </c>
      <c r="B15" s="21" t="str">
        <f aca="false">Plan!B31</f>
        <v>iShares 0-3 Month Treasury Bond ETF</v>
      </c>
      <c r="C15" s="21" t="str">
        <f aca="false">Plan!C31</f>
        <v>Cash / T-Bills</v>
      </c>
      <c r="D15" s="22" t="n">
        <v>0</v>
      </c>
      <c r="E15" s="23" t="n">
        <v>0</v>
      </c>
      <c r="F15" s="23" t="n">
        <v>0</v>
      </c>
      <c r="G15" s="15" t="n">
        <f aca="false">D15*F15</f>
        <v>0</v>
      </c>
      <c r="H15" s="15" t="n">
        <f aca="false">D15*E15</f>
        <v>0</v>
      </c>
      <c r="I15" s="15" t="n">
        <f aca="false">G15-H15</f>
        <v>0</v>
      </c>
      <c r="J15" s="13" t="n">
        <f aca="false">IF(H15&gt;0,I15/H15,0)</f>
        <v>0</v>
      </c>
      <c r="K15" s="13" t="n">
        <f aca="false">IF(G$17&gt;0,G15/G$17,0)</f>
        <v>0</v>
      </c>
      <c r="L15" s="24" t="n">
        <f aca="false">Plan!D31</f>
        <v>0.05</v>
      </c>
      <c r="M15" s="13" t="n">
        <f aca="false">IF(G$17&gt;0,K15-L15,0)</f>
        <v>0</v>
      </c>
      <c r="N15" s="25" t="str">
        <f aca="false">IF(G$17=0,"-",IF(ABS(M15)&gt;Plan!$B$8,IF(M15&gt;0,"Overweight","Underweight"),"OK"))</f>
        <v>-</v>
      </c>
      <c r="O15" s="15" t="n">
        <f aca="false">MAX(0,L15*(G$17+Plan!$B$4)-G15)</f>
        <v>75</v>
      </c>
      <c r="P15" s="18" t="n">
        <f aca="false">IF(O$17=0,L15*Plan!$B$4,O15/O$17*Plan!$B$4)</f>
        <v>75</v>
      </c>
      <c r="Q15" s="26" t="str">
        <f aca="false">IF(F15&gt;0,P15/F15,"enter price")</f>
        <v>enter price</v>
      </c>
    </row>
    <row r="16" customFormat="false" ht="15" hidden="false" customHeight="false" outlineLevel="0" collapsed="false">
      <c r="A16" s="21" t="str">
        <f aca="false">IF(Plan!A32="","",Plan!A32)</f>
        <v/>
      </c>
      <c r="B16" s="21" t="str">
        <f aca="false">Plan!B32</f>
        <v>(spare slot)</v>
      </c>
      <c r="C16" s="21" t="str">
        <f aca="false">Plan!C32</f>
        <v>Individual Stocks</v>
      </c>
      <c r="D16" s="22" t="n">
        <v>0</v>
      </c>
      <c r="E16" s="23" t="n">
        <v>0</v>
      </c>
      <c r="F16" s="23" t="n">
        <v>0</v>
      </c>
      <c r="G16" s="15" t="n">
        <f aca="false">D16*F16</f>
        <v>0</v>
      </c>
      <c r="H16" s="15" t="n">
        <f aca="false">D16*E16</f>
        <v>0</v>
      </c>
      <c r="I16" s="15" t="n">
        <f aca="false">G16-H16</f>
        <v>0</v>
      </c>
      <c r="J16" s="13" t="n">
        <f aca="false">IF(H16&gt;0,I16/H16,0)</f>
        <v>0</v>
      </c>
      <c r="K16" s="13" t="n">
        <f aca="false">IF(G$17&gt;0,G16/G$17,0)</f>
        <v>0</v>
      </c>
      <c r="L16" s="24" t="n">
        <f aca="false">Plan!D32</f>
        <v>0</v>
      </c>
      <c r="M16" s="13" t="n">
        <f aca="false">IF(G$17&gt;0,K16-L16,0)</f>
        <v>0</v>
      </c>
      <c r="N16" s="25" t="str">
        <f aca="false">IF(G$17=0,"-",IF(ABS(M16)&gt;Plan!$B$8,IF(M16&gt;0,"Overweight","Underweight"),"OK"))</f>
        <v>-</v>
      </c>
      <c r="O16" s="15" t="n">
        <f aca="false">MAX(0,L16*(G$17+Plan!$B$4)-G16)</f>
        <v>0</v>
      </c>
      <c r="P16" s="18" t="n">
        <f aca="false">IF(O$17=0,L16*Plan!$B$4,O16/O$17*Plan!$B$4)</f>
        <v>0</v>
      </c>
      <c r="Q16" s="26" t="str">
        <f aca="false">IF(F16&gt;0,P16/F16,"enter price")</f>
        <v>enter price</v>
      </c>
    </row>
    <row r="17" customFormat="false" ht="15" hidden="false" customHeight="false" outlineLevel="0" collapsed="false">
      <c r="A17" s="16" t="s">
        <v>88</v>
      </c>
      <c r="G17" s="18" t="n">
        <f aca="false">SUM(G6:G16)</f>
        <v>0</v>
      </c>
      <c r="H17" s="18" t="n">
        <f aca="false">SUM(H6:H16)</f>
        <v>0</v>
      </c>
      <c r="I17" s="18" t="n">
        <f aca="false">SUM(I6:I16)</f>
        <v>0</v>
      </c>
      <c r="J17" s="17" t="n">
        <f aca="false">IF(H17&gt;0,I17/H17,0)</f>
        <v>0</v>
      </c>
      <c r="K17" s="17" t="n">
        <f aca="false">SUM(K6:K16)</f>
        <v>0</v>
      </c>
      <c r="L17" s="17" t="n">
        <f aca="false">SUM(L6:L16)</f>
        <v>1</v>
      </c>
      <c r="O17" s="18" t="n">
        <f aca="false">SUM(O6:O16)</f>
        <v>1500</v>
      </c>
      <c r="P17" s="18" t="n">
        <f aca="false">SUM(P6:P16)</f>
        <v>1500</v>
      </c>
    </row>
    <row r="19" customFormat="false" ht="30" hidden="false" customHeight="true" outlineLevel="0" collapsed="false">
      <c r="A19" s="27" t="s">
        <v>89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</row>
  </sheetData>
  <mergeCells count="1">
    <mergeCell ref="A19:Q19"/>
  </mergeCells>
  <conditionalFormatting sqref="N6:N16">
    <cfRule type="expression" priority="2" aboveAverage="0" equalAverage="0" bottom="0" percent="0" rank="0" text="" dxfId="0">
      <formula>N6="Overweight"</formula>
    </cfRule>
    <cfRule type="expression" priority="3" aboveAverage="0" equalAverage="0" bottom="0" percent="0" rank="0" text="" dxfId="1">
      <formula>N6="Underweight"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16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30" hidden="false" customHeight="true" outlineLevel="0" collapsed="false">
      <c r="A4" s="11" t="s">
        <v>92</v>
      </c>
      <c r="B4" s="12" t="s">
        <v>93</v>
      </c>
      <c r="C4" s="12" t="s">
        <v>94</v>
      </c>
      <c r="D4" s="12" t="s">
        <v>95</v>
      </c>
      <c r="E4" s="12" t="s">
        <v>96</v>
      </c>
      <c r="F4" s="12" t="s">
        <v>97</v>
      </c>
      <c r="G4" s="12" t="s">
        <v>98</v>
      </c>
      <c r="H4" s="12" t="s">
        <v>99</v>
      </c>
    </row>
    <row r="5" customFormat="false" ht="15" hidden="false" customHeight="false" outlineLevel="0" collapsed="false">
      <c r="A5" s="28" t="n">
        <v>0</v>
      </c>
      <c r="C5" s="8" t="n">
        <f aca="false">Plan!$B$5</f>
        <v>0</v>
      </c>
      <c r="D5" s="8" t="n">
        <f aca="false">Plan!$B$5</f>
        <v>0</v>
      </c>
      <c r="E5" s="8" t="n">
        <f aca="false">Plan!$B$5</f>
        <v>0</v>
      </c>
      <c r="F5" s="8" t="n">
        <f aca="false">Plan!$B$5</f>
        <v>0</v>
      </c>
      <c r="G5" s="15" t="n">
        <f aca="false">C5</f>
        <v>0</v>
      </c>
      <c r="H5" s="15" t="n">
        <f aca="false">C5-F5</f>
        <v>0</v>
      </c>
    </row>
    <row r="6" customFormat="false" ht="15" hidden="false" customHeight="false" outlineLevel="0" collapsed="false">
      <c r="A6" s="28" t="n">
        <v>1</v>
      </c>
      <c r="B6" s="8" t="n">
        <f aca="false">Plan!$B$4*12*(1+Plan!$B$6)^(A6-1)</f>
        <v>18000</v>
      </c>
      <c r="C6" s="15" t="n">
        <f aca="false">C5*(1+Plan!$E$33)+B6*(1+Plan!$E$33/2)</f>
        <v>18593.1</v>
      </c>
      <c r="D6" s="15" t="n">
        <f aca="false">D5*(1+Plan!$E$33-Plan!$B$9)+B6*(1+(Plan!$E$33-Plan!$B$9)/2)</f>
        <v>18413.1</v>
      </c>
      <c r="E6" s="15" t="n">
        <f aca="false">E5*(1+Plan!$E$33+Plan!$B$9)+B6*(1+(Plan!$E$33+Plan!$B$9)/2)</f>
        <v>18773.1</v>
      </c>
      <c r="F6" s="15" t="n">
        <f aca="false">F5+B6</f>
        <v>18000</v>
      </c>
      <c r="G6" s="15" t="n">
        <f aca="false">C6/(1+Plan!$B$7)^A6</f>
        <v>18139.6097560976</v>
      </c>
      <c r="H6" s="15" t="n">
        <f aca="false">C6-F6</f>
        <v>593.100000000002</v>
      </c>
    </row>
    <row r="7" customFormat="false" ht="15" hidden="false" customHeight="false" outlineLevel="0" collapsed="false">
      <c r="A7" s="28" t="n">
        <v>2</v>
      </c>
      <c r="B7" s="8" t="n">
        <f aca="false">Plan!$B$4*12*(1+Plan!$B$6)^(A7-1)</f>
        <v>18540</v>
      </c>
      <c r="C7" s="15" t="n">
        <f aca="false">C6*(1+Plan!$E$33)+B7*(1+Plan!$E$33/2)</f>
        <v>38969.27829</v>
      </c>
      <c r="D7" s="15" t="n">
        <f aca="false">D6*(1+Plan!$E$33-Plan!$B$9)+B7*(1+(Plan!$E$33-Plan!$B$9)/2)</f>
        <v>38223.75429</v>
      </c>
      <c r="E7" s="15" t="n">
        <f aca="false">E6*(1+Plan!$E$33+Plan!$B$9)+B7*(1+(Plan!$E$33+Plan!$B$9)/2)</f>
        <v>39722.00229</v>
      </c>
      <c r="F7" s="15" t="n">
        <f aca="false">F6+B7</f>
        <v>36540</v>
      </c>
      <c r="G7" s="15" t="n">
        <f aca="false">C7/(1+Plan!$B$7)^A7</f>
        <v>37091.5200856633</v>
      </c>
      <c r="H7" s="15" t="n">
        <f aca="false">C7-F7</f>
        <v>2429.27829</v>
      </c>
    </row>
    <row r="8" customFormat="false" ht="15" hidden="false" customHeight="false" outlineLevel="0" collapsed="false">
      <c r="A8" s="28" t="n">
        <v>3</v>
      </c>
      <c r="B8" s="8" t="n">
        <f aca="false">Plan!$B$4*12*(1+Plan!$B$6)^(A8-1)</f>
        <v>19096.2</v>
      </c>
      <c r="C8" s="15" t="n">
        <f aca="false">C7*(1+Plan!$E$33)+B8*(1+Plan!$E$33/2)</f>
        <v>61262.773519311</v>
      </c>
      <c r="D8" s="15" t="n">
        <f aca="false">D7*(1+Plan!$E$33-Plan!$B$9)+B8*(1+(Plan!$E$33-Plan!$B$9)/2)</f>
        <v>59512.682401911</v>
      </c>
      <c r="E8" s="15" t="n">
        <f aca="false">E7*(1+Plan!$E$33+Plan!$B$9)+B8*(1+(Plan!$E$33+Plan!$B$9)/2)</f>
        <v>63050.504076711</v>
      </c>
      <c r="F8" s="15" t="n">
        <f aca="false">F7+B8</f>
        <v>55636.2</v>
      </c>
      <c r="G8" s="15" t="n">
        <f aca="false">C8/(1+Plan!$B$7)^A8</f>
        <v>56888.5754013422</v>
      </c>
      <c r="H8" s="15" t="n">
        <f aca="false">C8-F8</f>
        <v>5626.57351931101</v>
      </c>
    </row>
    <row r="9" customFormat="false" ht="15" hidden="false" customHeight="false" outlineLevel="0" collapsed="false">
      <c r="A9" s="28" t="n">
        <v>4</v>
      </c>
      <c r="B9" s="8" t="n">
        <f aca="false">Plan!$B$4*12*(1+Plan!$B$6)^(A9-1)</f>
        <v>19669.086</v>
      </c>
      <c r="C9" s="15" t="n">
        <f aca="false">C8*(1+Plan!$E$33)+B9*(1+Plan!$E$33/2)</f>
        <v>85617.1726779336</v>
      </c>
      <c r="D9" s="15" t="n">
        <f aca="false">D8*(1+Plan!$E$33-Plan!$B$9)+B9*(1+(Plan!$E$33-Plan!$B$9)/2)</f>
        <v>82364.8060478587</v>
      </c>
      <c r="E9" s="15" t="n">
        <f aca="false">E8*(1+Plan!$E$33+Plan!$B$9)+B9*(1+(Plan!$E$33+Plan!$B$9)/2)</f>
        <v>88980.4156206005</v>
      </c>
      <c r="F9" s="15" t="n">
        <f aca="false">F8+B9</f>
        <v>75305.286</v>
      </c>
      <c r="G9" s="15" t="n">
        <f aca="false">C9/(1+Plan!$B$7)^A9</f>
        <v>77564.9327935059</v>
      </c>
      <c r="H9" s="15" t="n">
        <f aca="false">C9-F9</f>
        <v>10311.8866779336</v>
      </c>
    </row>
    <row r="10" customFormat="false" ht="15" hidden="false" customHeight="false" outlineLevel="0" collapsed="false">
      <c r="A10" s="28" t="n">
        <v>5</v>
      </c>
      <c r="B10" s="8" t="n">
        <f aca="false">Plan!$B$4*12*(1+Plan!$B$6)^(A10-1)</f>
        <v>20259.15858</v>
      </c>
      <c r="C10" s="15" t="n">
        <f aca="false">C9*(1+Plan!$E$33)+B10*(1+Plan!$E$33/2)</f>
        <v>112186.04221262</v>
      </c>
      <c r="D10" s="15" t="n">
        <f aca="false">D9*(1+Plan!$E$33-Plan!$B$9)+B10*(1+(Plan!$E$33-Plan!$B$9)/2)</f>
        <v>106869.456914866</v>
      </c>
      <c r="E10" s="15" t="n">
        <f aca="false">E9*(1+Plan!$E$33+Plan!$B$9)+B10*(1+(Plan!$E$33+Plan!$B$9)/2)</f>
        <v>117753.122763421</v>
      </c>
      <c r="F10" s="15" t="n">
        <f aca="false">F9+B10</f>
        <v>95564.44458</v>
      </c>
      <c r="G10" s="15" t="n">
        <f aca="false">C10/(1+Plan!$B$7)^A10</f>
        <v>99156.1144195669</v>
      </c>
      <c r="H10" s="15" t="n">
        <f aca="false">C10-F10</f>
        <v>16621.5976326204</v>
      </c>
    </row>
    <row r="11" customFormat="false" ht="15" hidden="false" customHeight="false" outlineLevel="0" collapsed="false">
      <c r="A11" s="28" t="n">
        <v>6</v>
      </c>
      <c r="B11" s="8" t="n">
        <f aca="false">Plan!$B$4*12*(1+Plan!$B$6)^(A11-1)</f>
        <v>20866.9333374</v>
      </c>
      <c r="C11" s="15" t="n">
        <f aca="false">C10*(1+Plan!$E$33)+B11*(1+Plan!$E$33/2)</f>
        <v>141133.601185299</v>
      </c>
      <c r="D11" s="15" t="n">
        <f aca="false">D10*(1+Plan!$E$33-Plan!$B$9)+B11*(1+(Plan!$E$33-Plan!$B$9)/2)</f>
        <v>133120.594444752</v>
      </c>
      <c r="E11" s="15" t="n">
        <f aca="false">E10*(1+Plan!$E$33+Plan!$B$9)+B11*(1+(Plan!$E$33+Plan!$B$9)/2)</f>
        <v>149631.28413304</v>
      </c>
      <c r="F11" s="15" t="n">
        <f aca="false">F10+B11</f>
        <v>116431.3779174</v>
      </c>
      <c r="G11" s="15" t="n">
        <f aca="false">C11/(1+Plan!$B$7)^A11</f>
        <v>121699.061983804</v>
      </c>
      <c r="H11" s="15" t="n">
        <f aca="false">C11-F11</f>
        <v>24702.2232678995</v>
      </c>
    </row>
    <row r="12" customFormat="false" ht="15" hidden="false" customHeight="false" outlineLevel="0" collapsed="false">
      <c r="A12" s="28" t="n">
        <v>7</v>
      </c>
      <c r="B12" s="8" t="n">
        <f aca="false">Plan!$B$4*12*(1+Plan!$B$6)^(A12-1)</f>
        <v>21492.941337522</v>
      </c>
      <c r="C12" s="15" t="n">
        <f aca="false">C11*(1+Plan!$E$33)+B12*(1+Plan!$E$33/2)</f>
        <v>172635.439258004</v>
      </c>
      <c r="D12" s="15" t="n">
        <f aca="false">D11*(1+Plan!$E$33-Plan!$B$9)+B12*(1+(Plan!$E$33-Plan!$B$9)/2)</f>
        <v>161217.034070984</v>
      </c>
      <c r="E12" s="15" t="n">
        <f aca="false">E11*(1+Plan!$E$33+Plan!$B$9)+B12*(1+(Plan!$E$33+Plan!$B$9)/2)</f>
        <v>184900.674608037</v>
      </c>
      <c r="F12" s="15" t="n">
        <f aca="false">F11+B12</f>
        <v>137924.319254922</v>
      </c>
      <c r="G12" s="15" t="n">
        <f aca="false">C12/(1+Plan!$B$7)^A12</f>
        <v>145232.193391114</v>
      </c>
      <c r="H12" s="15" t="n">
        <f aca="false">C12-F12</f>
        <v>34711.1200030821</v>
      </c>
    </row>
    <row r="13" customFormat="false" ht="15" hidden="false" customHeight="false" outlineLevel="0" collapsed="false">
      <c r="A13" s="28" t="n">
        <v>8</v>
      </c>
      <c r="B13" s="8" t="n">
        <f aca="false">Plan!$B$4*12*(1+Plan!$B$6)^(A13-1)</f>
        <v>22137.7295776477</v>
      </c>
      <c r="C13" s="15" t="n">
        <f aca="false">C12*(1+Plan!$E$33)+B13*(1+Plan!$E$33/2)</f>
        <v>206879.282472338</v>
      </c>
      <c r="D13" s="15" t="n">
        <f aca="false">D12*(1+Plan!$E$33-Plan!$B$9)+B13*(1+(Plan!$E$33-Plan!$B$9)/2)</f>
        <v>191262.686406297</v>
      </c>
      <c r="E13" s="15" t="n">
        <f aca="false">E12*(1+Plan!$E$33+Plan!$B$9)+B13*(1+(Plan!$E$33+Plan!$B$9)/2)</f>
        <v>223872.187619875</v>
      </c>
      <c r="F13" s="15" t="n">
        <f aca="false">F12+B13</f>
        <v>160062.04883257</v>
      </c>
      <c r="G13" s="15" t="n">
        <f aca="false">C13/(1+Plan!$B$7)^A13</f>
        <v>169795.461661444</v>
      </c>
      <c r="H13" s="15" t="n">
        <f aca="false">C13-F13</f>
        <v>46817.233639768</v>
      </c>
    </row>
    <row r="14" customFormat="false" ht="15" hidden="false" customHeight="false" outlineLevel="0" collapsed="false">
      <c r="A14" s="28" t="n">
        <v>9</v>
      </c>
      <c r="B14" s="8" t="n">
        <f aca="false">Plan!$B$4*12*(1+Plan!$B$6)^(A14-1)</f>
        <v>22801.8614649771</v>
      </c>
      <c r="C14" s="15" t="n">
        <f aca="false">C13*(1+Plan!$E$33)+B14*(1+Plan!$E$33/2)</f>
        <v>244065.809987513</v>
      </c>
      <c r="D14" s="15" t="n">
        <f aca="false">D13*(1+Plan!$E$33-Plan!$B$9)+B14*(1+(Plan!$E$33-Plan!$B$9)/2)</f>
        <v>223366.807897945</v>
      </c>
      <c r="E14" s="15" t="n">
        <f aca="false">E13*(1+Plan!$E$33+Plan!$B$9)+B14*(1+(Plan!$E$33+Plan!$B$9)/2)</f>
        <v>266884.00995132</v>
      </c>
      <c r="F14" s="15" t="n">
        <f aca="false">F13+B14</f>
        <v>182863.910297547</v>
      </c>
      <c r="G14" s="15" t="n">
        <f aca="false">C14/(1+Plan!$B$7)^A14</f>
        <v>195430.416195094</v>
      </c>
      <c r="H14" s="15" t="n">
        <f aca="false">C14-F14</f>
        <v>61201.8996899661</v>
      </c>
    </row>
    <row r="15" customFormat="false" ht="15" hidden="false" customHeight="false" outlineLevel="0" collapsed="false">
      <c r="A15" s="28" t="n">
        <v>10</v>
      </c>
      <c r="B15" s="8" t="n">
        <f aca="false">Plan!$B$4*12*(1+Plan!$B$6)^(A15-1)</f>
        <v>23485.9173089264</v>
      </c>
      <c r="C15" s="15" t="n">
        <f aca="false">C14*(1+Plan!$E$33)+B15*(1+Plan!$E$33/2)</f>
        <v>284409.525149946</v>
      </c>
      <c r="D15" s="15" t="n">
        <f aca="false">D14*(1+Plan!$E$33-Plan!$B$9)+B15*(1+(Plan!$E$33-Plan!$B$9)/2)</f>
        <v>257644.263491627</v>
      </c>
      <c r="E15" s="15" t="n">
        <f aca="false">E14*(1+Plan!$E$33+Plan!$B$9)+B15*(1+(Plan!$E$33+Plan!$B$9)/2)</f>
        <v>314303.983863483</v>
      </c>
      <c r="F15" s="15" t="n">
        <f aca="false">F14+B15</f>
        <v>206349.827606473</v>
      </c>
      <c r="G15" s="15" t="n">
        <f aca="false">C15/(1+Plan!$B$7)^A15</f>
        <v>222180.266482711</v>
      </c>
      <c r="H15" s="15" t="n">
        <f aca="false">C15-F15</f>
        <v>78059.6975434724</v>
      </c>
    </row>
    <row r="16" customFormat="false" ht="15" hidden="false" customHeight="false" outlineLevel="0" collapsed="false">
      <c r="A16" s="28" t="n">
        <v>11</v>
      </c>
      <c r="B16" s="8" t="n">
        <f aca="false">Plan!$B$4*12*(1+Plan!$B$6)^(A16-1)</f>
        <v>24190.4948281942</v>
      </c>
      <c r="C16" s="15" t="n">
        <f aca="false">C15*(1+Plan!$E$33)+B16*(1+Plan!$E$33/2)</f>
        <v>328139.68449011</v>
      </c>
      <c r="D16" s="15" t="n">
        <f aca="false">D15*(1+Plan!$E$33-Plan!$B$9)+B16*(1+(Plan!$E$33-Plan!$B$9)/2)</f>
        <v>294215.801870394</v>
      </c>
      <c r="E16" s="15" t="n">
        <f aca="false">E15*(1+Plan!$E$33+Plan!$B$9)+B16*(1+(Plan!$E$33+Plan!$B$9)/2)</f>
        <v>366532.172658422</v>
      </c>
      <c r="F16" s="15" t="n">
        <f aca="false">F15+B16</f>
        <v>230540.322434667</v>
      </c>
      <c r="G16" s="15" t="n">
        <f aca="false">C16/(1+Plan!$B$7)^A16</f>
        <v>250089.94835752</v>
      </c>
      <c r="H16" s="15" t="n">
        <f aca="false">C16-F16</f>
        <v>97599.3620554428</v>
      </c>
    </row>
    <row r="17" customFormat="false" ht="15" hidden="false" customHeight="false" outlineLevel="0" collapsed="false">
      <c r="A17" s="28" t="n">
        <v>12</v>
      </c>
      <c r="B17" s="8" t="n">
        <f aca="false">Plan!$B$4*12*(1+Plan!$B$6)^(A17-1)</f>
        <v>24916.20967304</v>
      </c>
      <c r="C17" s="15" t="n">
        <f aca="false">C16*(1+Plan!$E$33)+B17*(1+Plan!$E$33/2)</f>
        <v>375501.288479775</v>
      </c>
      <c r="D17" s="15" t="n">
        <f aca="false">D16*(1+Plan!$E$33-Plan!$B$9)+B17*(1+(Plan!$E$33-Plan!$B$9)/2)</f>
        <v>333208.343861281</v>
      </c>
      <c r="E17" s="15" t="n">
        <f aca="false">E16*(1+Plan!$E$33+Plan!$B$9)+B17*(1+(Plan!$E$33+Plan!$B$9)/2)</f>
        <v>424003.647168277</v>
      </c>
      <c r="F17" s="15" t="n">
        <f aca="false">F16+B17</f>
        <v>255456.532107707</v>
      </c>
      <c r="G17" s="15" t="n">
        <f aca="false">C17/(1+Plan!$B$7)^A17</f>
        <v>279206.192891233</v>
      </c>
      <c r="H17" s="15" t="n">
        <f aca="false">C17-F17</f>
        <v>120044.756372068</v>
      </c>
    </row>
    <row r="18" customFormat="false" ht="15" hidden="false" customHeight="false" outlineLevel="0" collapsed="false">
      <c r="A18" s="28" t="n">
        <v>13</v>
      </c>
      <c r="B18" s="8" t="n">
        <f aca="false">Plan!$B$4*12*(1+Plan!$B$6)^(A18-1)</f>
        <v>25663.6959632312</v>
      </c>
      <c r="C18" s="15" t="n">
        <f aca="false">C17*(1+Plan!$E$33)+B18*(1+Plan!$E$33/2)</f>
        <v>426756.138135812</v>
      </c>
      <c r="D18" s="15" t="n">
        <f aca="false">D17*(1+Plan!$E$33-Plan!$B$9)+B18*(1+(Plan!$E$33-Plan!$B$9)/2)</f>
        <v>374755.284630101</v>
      </c>
      <c r="E18" s="15" t="n">
        <f aca="false">E17*(1+Plan!$E$33+Plan!$B$9)+B18*(1+(Plan!$E$33+Plan!$B$9)/2)</f>
        <v>487191.512164885</v>
      </c>
      <c r="F18" s="15" t="n">
        <f aca="false">F17+B18</f>
        <v>281120.228070939</v>
      </c>
      <c r="G18" s="15" t="n">
        <f aca="false">C18/(1+Plan!$B$7)^A18</f>
        <v>309577.598039114</v>
      </c>
      <c r="H18" s="15" t="n">
        <f aca="false">C18-F18</f>
        <v>145635.910064873</v>
      </c>
    </row>
    <row r="19" customFormat="false" ht="15" hidden="false" customHeight="false" outlineLevel="0" collapsed="false">
      <c r="A19" s="28" t="n">
        <v>14</v>
      </c>
      <c r="B19" s="8" t="n">
        <f aca="false">Plan!$B$4*12*(1+Plan!$B$6)^(A19-1)</f>
        <v>26433.6068421282</v>
      </c>
      <c r="C19" s="15" t="n">
        <f aca="false">C18*(1+Plan!$E$33)+B19*(1+Plan!$E$33/2)</f>
        <v>482183.961826538</v>
      </c>
      <c r="D19" s="15" t="n">
        <f aca="false">D18*(1+Plan!$E$33-Plan!$B$9)+B19*(1+(Plan!$E$33-Plan!$B$9)/2)</f>
        <v>418996.810313778</v>
      </c>
      <c r="E19" s="15" t="n">
        <f aca="false">E18*(1+Plan!$E$33+Plan!$B$9)+B19*(1+(Plan!$E$33+Plan!$B$9)/2)</f>
        <v>556610.193315846</v>
      </c>
      <c r="F19" s="15" t="n">
        <f aca="false">F18+B19</f>
        <v>307553.834913067</v>
      </c>
      <c r="G19" s="15" t="n">
        <f aca="false">C19/(1+Plan!$B$7)^A19</f>
        <v>341254.703143924</v>
      </c>
      <c r="H19" s="15" t="n">
        <f aca="false">C19-F19</f>
        <v>174630.126913472</v>
      </c>
    </row>
    <row r="20" customFormat="false" ht="15" hidden="false" customHeight="false" outlineLevel="0" collapsed="false">
      <c r="A20" s="28" t="n">
        <v>15</v>
      </c>
      <c r="B20" s="8" t="n">
        <f aca="false">Plan!$B$4*12*(1+Plan!$B$6)^(A20-1)</f>
        <v>27226.615047392</v>
      </c>
      <c r="C20" s="15" t="n">
        <f aca="false">C19*(1+Plan!$E$33)+B20*(1+Plan!$E$33/2)</f>
        <v>542083.616924111</v>
      </c>
      <c r="D20" s="15" t="n">
        <f aca="false">D19*(1+Plan!$E$33-Plan!$B$9)+B20*(1+(Plan!$E$33-Plan!$B$9)/2)</f>
        <v>466080.22976991</v>
      </c>
      <c r="E20" s="15" t="n">
        <f aca="false">E19*(1+Plan!$E$33+Plan!$B$9)+B20*(1+(Plan!$E$33+Plan!$B$9)/2)</f>
        <v>632819.007085354</v>
      </c>
      <c r="F20" s="15" t="n">
        <f aca="false">F19+B20</f>
        <v>334780.449960459</v>
      </c>
      <c r="G20" s="15" t="n">
        <f aca="false">C20/(1+Plan!$B$7)^A20</f>
        <v>374290.066412798</v>
      </c>
      <c r="H20" s="15" t="n">
        <f aca="false">C20-F20</f>
        <v>207303.166963652</v>
      </c>
    </row>
    <row r="21" customFormat="false" ht="15" hidden="false" customHeight="false" outlineLevel="0" collapsed="false">
      <c r="A21" s="28" t="n">
        <v>16</v>
      </c>
      <c r="B21" s="8" t="n">
        <f aca="false">Plan!$B$4*12*(1+Plan!$B$6)^(A21-1)</f>
        <v>28043.4134988138</v>
      </c>
      <c r="C21" s="15" t="n">
        <f aca="false">C20*(1+Plan!$E$33)+B21*(1+Plan!$E$33/2)</f>
        <v>606774.37125301</v>
      </c>
      <c r="D21" s="15" t="n">
        <f aca="false">D20*(1+Plan!$E$33-Plan!$B$9)+B21*(1+(Plan!$E$33-Plan!$B$9)/2)</f>
        <v>516160.32215496</v>
      </c>
      <c r="E21" s="15" t="n">
        <f aca="false">E20*(1+Plan!$E$33+Plan!$B$9)+B21*(1+(Plan!$E$33+Plan!$B$9)/2)</f>
        <v>716426.037902574</v>
      </c>
      <c r="F21" s="15" t="n">
        <f aca="false">F20+B21</f>
        <v>362823.863459273</v>
      </c>
      <c r="G21" s="15" t="n">
        <f aca="false">C21/(1+Plan!$B$7)^A21</f>
        <v>408738.345485693</v>
      </c>
      <c r="H21" s="15" t="n">
        <f aca="false">C21-F21</f>
        <v>243950.507793737</v>
      </c>
    </row>
    <row r="22" customFormat="false" ht="15" hidden="false" customHeight="false" outlineLevel="0" collapsed="false">
      <c r="A22" s="28" t="n">
        <v>17</v>
      </c>
      <c r="B22" s="8" t="n">
        <f aca="false">Plan!$B$4*12*(1+Plan!$B$6)^(A22-1)</f>
        <v>28884.7159037782</v>
      </c>
      <c r="C22" s="15" t="n">
        <f aca="false">C21*(1+Plan!$E$33)+B22*(1+Plan!$E$33/2)</f>
        <v>676597.269611391</v>
      </c>
      <c r="D22" s="15" t="n">
        <f aca="false">D21*(1+Plan!$E$33-Plan!$B$9)+B22*(1+(Plan!$E$33-Plan!$B$9)/2)</f>
        <v>569399.701075643</v>
      </c>
      <c r="E22" s="15" t="n">
        <f aca="false">E21*(1+Plan!$E$33+Plan!$B$9)+B22*(1+(Plan!$E$33+Plan!$B$9)/2)</f>
        <v>808092.349010251</v>
      </c>
      <c r="F22" s="15" t="n">
        <f aca="false">F21+B22</f>
        <v>391708.579363051</v>
      </c>
      <c r="G22" s="15" t="n">
        <f aca="false">C22/(1+Plan!$B$7)^A22</f>
        <v>444656.381218767</v>
      </c>
      <c r="H22" s="15" t="n">
        <f aca="false">C22-F22</f>
        <v>284888.69024834</v>
      </c>
    </row>
    <row r="23" customFormat="false" ht="15" hidden="false" customHeight="false" outlineLevel="0" collapsed="false">
      <c r="A23" s="28" t="n">
        <v>18</v>
      </c>
      <c r="B23" s="8" t="n">
        <f aca="false">Plan!$B$4*12*(1+Plan!$B$6)^(A23-1)</f>
        <v>29751.2573808915</v>
      </c>
      <c r="C23" s="15" t="n">
        <f aca="false">C22*(1+Plan!$E$33)+B23*(1+Plan!$E$33/2)</f>
        <v>751916.590990373</v>
      </c>
      <c r="D23" s="15" t="n">
        <f aca="false">D22*(1+Plan!$E$33-Plan!$B$9)+B23*(1+(Plan!$E$33-Plan!$B$9)/2)</f>
        <v>625969.196092798</v>
      </c>
      <c r="E23" s="15" t="n">
        <f aca="false">E22*(1+Plan!$E$33+Plan!$B$9)+B23*(1+(Plan!$E$33+Plan!$B$9)/2)</f>
        <v>908536.555675632</v>
      </c>
      <c r="F23" s="15" t="n">
        <f aca="false">F22+B23</f>
        <v>421459.836743942</v>
      </c>
      <c r="G23" s="15" t="n">
        <f aca="false">C23/(1+Plan!$B$7)^A23</f>
        <v>482103.284810972</v>
      </c>
      <c r="H23" s="15" t="n">
        <f aca="false">C23-F23</f>
        <v>330456.754246431</v>
      </c>
    </row>
    <row r="24" customFormat="false" ht="15" hidden="false" customHeight="false" outlineLevel="0" collapsed="false">
      <c r="A24" s="28" t="n">
        <v>19</v>
      </c>
      <c r="B24" s="8" t="n">
        <f aca="false">Plan!$B$4*12*(1+Plan!$B$6)^(A24-1)</f>
        <v>30643.7951023183</v>
      </c>
      <c r="C24" s="15" t="n">
        <f aca="false">C23*(1+Plan!$E$33)+B24*(1+Plan!$E$33/2)</f>
        <v>833121.402487579</v>
      </c>
      <c r="D24" s="15" t="n">
        <f aca="false">D23*(1+Plan!$E$33-Plan!$B$9)+B24*(1+(Plan!$E$33-Plan!$B$9)/2)</f>
        <v>686048.252393374</v>
      </c>
      <c r="E24" s="15" t="n">
        <f aca="false">E23*(1+Plan!$E$33+Plan!$B$9)+B24*(1+(Plan!$E$33+Plan!$B$9)/2)</f>
        <v>1018539.79191013</v>
      </c>
      <c r="F24" s="15" t="n">
        <f aca="false">F23+B24</f>
        <v>452103.631846261</v>
      </c>
      <c r="G24" s="15" t="n">
        <f aca="false">C24/(1+Plan!$B$7)^A24</f>
        <v>521140.528407265</v>
      </c>
      <c r="H24" s="15" t="n">
        <f aca="false">C24-F24</f>
        <v>381017.770641318</v>
      </c>
    </row>
    <row r="25" customFormat="false" ht="15" hidden="false" customHeight="false" outlineLevel="0" collapsed="false">
      <c r="A25" s="28" t="n">
        <v>20</v>
      </c>
      <c r="B25" s="8" t="n">
        <f aca="false">Plan!$B$4*12*(1+Plan!$B$6)^(A25-1)</f>
        <v>31563.1089553878</v>
      </c>
      <c r="C25" s="15" t="n">
        <f aca="false">C24*(1+Plan!$E$33)+B25*(1+Plan!$E$33/2)</f>
        <v>920627.216306978</v>
      </c>
      <c r="D25" s="15" t="n">
        <f aca="false">D24*(1+Plan!$E$33-Plan!$B$9)+B25*(1+(Plan!$E$33-Plan!$B$9)/2)</f>
        <v>749825.349484144</v>
      </c>
      <c r="E25" s="15" t="n">
        <f aca="false">E24*(1+Plan!$E$33+Plan!$B$9)+B25*(1+(Plan!$E$33+Plan!$B$9)/2)</f>
        <v>1138951.10452023</v>
      </c>
      <c r="F25" s="15" t="n">
        <f aca="false">F24+B25</f>
        <v>483666.740801648</v>
      </c>
      <c r="G25" s="15" t="n">
        <f aca="false">C25/(1+Plan!$B$7)^A25</f>
        <v>561832.03931716</v>
      </c>
      <c r="H25" s="15" t="n">
        <f aca="false">C25-F25</f>
        <v>436960.475505329</v>
      </c>
    </row>
    <row r="26" customFormat="false" ht="15" hidden="false" customHeight="false" outlineLevel="0" collapsed="false">
      <c r="A26" s="28" t="n">
        <v>21</v>
      </c>
      <c r="B26" s="8" t="n">
        <f aca="false">Plan!$B$4*12*(1+Plan!$B$6)^(A26-1)</f>
        <v>32510.0022240495</v>
      </c>
      <c r="C26" s="15" t="n">
        <f aca="false">C25*(1+Plan!$E$33)+B26*(1+Plan!$E$33/2)</f>
        <v>1014877.75665894</v>
      </c>
      <c r="D26" s="15" t="n">
        <f aca="false">D25*(1+Plan!$E$33-Plan!$B$9)+B26*(1+(Plan!$E$33-Plan!$B$9)/2)</f>
        <v>817498.439800557</v>
      </c>
      <c r="E26" s="15" t="n">
        <f aca="false">E25*(1+Plan!$E$33+Plan!$B$9)+B26*(1+(Plan!$E$33+Plan!$B$9)/2)</f>
        <v>1270693.3112181</v>
      </c>
      <c r="F26" s="15" t="n">
        <f aca="false">F25+B26</f>
        <v>516176.743025698</v>
      </c>
      <c r="G26" s="15" t="n">
        <f aca="false">C26/(1+Plan!$B$7)^A26</f>
        <v>604244.297992884</v>
      </c>
      <c r="H26" s="15" t="n">
        <f aca="false">C26-F26</f>
        <v>498701.013633242</v>
      </c>
    </row>
    <row r="27" customFormat="false" ht="15" hidden="false" customHeight="false" outlineLevel="0" collapsed="false">
      <c r="A27" s="28" t="n">
        <v>22</v>
      </c>
      <c r="B27" s="8" t="n">
        <f aca="false">Plan!$B$4*12*(1+Plan!$B$6)^(A27-1)</f>
        <v>33485.302290771</v>
      </c>
      <c r="C27" s="15" t="n">
        <f aca="false">C26*(1+Plan!$E$33)+B27*(1+Plan!$E$33/2)</f>
        <v>1116346.84382402</v>
      </c>
      <c r="D27" s="15" t="n">
        <f aca="false">D26*(1+Plan!$E$33-Plan!$B$9)+B27*(1+(Plan!$E$33-Plan!$B$9)/2)</f>
        <v>889275.408165747</v>
      </c>
      <c r="E27" s="15" t="n">
        <f aca="false">E26*(1+Plan!$E$33+Plan!$B$9)+B27*(1+(Plan!$E$33+Plan!$B$9)/2)</f>
        <v>1414769.36267589</v>
      </c>
      <c r="F27" s="15" t="n">
        <f aca="false">F26+B27</f>
        <v>549662.045316469</v>
      </c>
      <c r="G27" s="15" t="n">
        <f aca="false">C27/(1+Plan!$B$7)^A27</f>
        <v>648446.439917156</v>
      </c>
      <c r="H27" s="15" t="n">
        <f aca="false">C27-F27</f>
        <v>566684.798507547</v>
      </c>
    </row>
    <row r="28" customFormat="false" ht="15" hidden="false" customHeight="false" outlineLevel="0" collapsed="false">
      <c r="A28" s="28" t="n">
        <v>23</v>
      </c>
      <c r="B28" s="8" t="n">
        <f aca="false">Plan!$B$4*12*(1+Plan!$B$6)^(A28-1)</f>
        <v>34489.8613594941</v>
      </c>
      <c r="C28" s="15" t="n">
        <f aca="false">C27*(1+Plan!$E$33)+B28*(1+Plan!$E$33/2)</f>
        <v>1225540.40312331</v>
      </c>
      <c r="D28" s="15" t="n">
        <f aca="false">D27*(1+Plan!$E$33-Plan!$B$9)+B28*(1+(Plan!$E$33-Plan!$B$9)/2)</f>
        <v>965374.553078249</v>
      </c>
      <c r="E28" s="15" t="n">
        <f aca="false">E27*(1+Plan!$E$33+Plan!$B$9)+B28*(1+(Plan!$E$33+Plan!$B$9)/2)</f>
        <v>1572269.25183463</v>
      </c>
      <c r="F28" s="15" t="n">
        <f aca="false">F27+B28</f>
        <v>584151.906675963</v>
      </c>
      <c r="G28" s="15" t="n">
        <f aca="false">C28/(1+Plan!$B$7)^A28</f>
        <v>694510.361556591</v>
      </c>
      <c r="H28" s="15" t="n">
        <f aca="false">C28-F28</f>
        <v>641388.496447345</v>
      </c>
    </row>
    <row r="29" customFormat="false" ht="15" hidden="false" customHeight="false" outlineLevel="0" collapsed="false">
      <c r="A29" s="28" t="n">
        <v>24</v>
      </c>
      <c r="B29" s="8" t="n">
        <f aca="false">Plan!$B$4*12*(1+Plan!$B$6)^(A29-1)</f>
        <v>35524.5572002789</v>
      </c>
      <c r="C29" s="15" t="n">
        <f aca="false">C28*(1+Plan!$E$33)+B29*(1+Plan!$E$33/2)</f>
        <v>1342998.60704916</v>
      </c>
      <c r="D29" s="15" t="n">
        <f aca="false">D28*(1+Plan!$E$33-Plan!$B$9)+B29*(1+(Plan!$E$33-Plan!$B$9)/2)</f>
        <v>1046025.09085257</v>
      </c>
      <c r="E29" s="15" t="n">
        <f aca="false">E28*(1+Plan!$E$33+Plan!$B$9)+B29*(1+(Plan!$E$33+Plan!$B$9)/2)</f>
        <v>1744377.51749926</v>
      </c>
      <c r="F29" s="15" t="n">
        <f aca="false">F28+B29</f>
        <v>619676.463876242</v>
      </c>
      <c r="G29" s="15" t="n">
        <f aca="false">C29/(1+Plan!$B$7)^A29</f>
        <v>742510.830542955</v>
      </c>
      <c r="H29" s="15" t="n">
        <f aca="false">C29-F29</f>
        <v>723322.14317292</v>
      </c>
    </row>
    <row r="30" customFormat="false" ht="15" hidden="false" customHeight="false" outlineLevel="0" collapsed="false">
      <c r="A30" s="28" t="n">
        <v>25</v>
      </c>
      <c r="B30" s="8" t="n">
        <f aca="false">Plan!$B$4*12*(1+Plan!$B$6)^(A30-1)</f>
        <v>36590.2939162873</v>
      </c>
      <c r="C30" s="15" t="n">
        <f aca="false">C29*(1+Plan!$E$33)+B30*(1+Plan!$E$33/2)</f>
        <v>1469298.15935453</v>
      </c>
      <c r="D30" s="15" t="n">
        <f aca="false">D29*(1+Plan!$E$33-Plan!$B$9)+B30*(1+(Plan!$E$33-Plan!$B$9)/2)</f>
        <v>1131467.68368437</v>
      </c>
      <c r="E30" s="15" t="n">
        <f aca="false">E29*(1+Plan!$E$33+Plan!$B$9)+B30*(1+(Plan!$E$33+Plan!$B$9)/2)</f>
        <v>1932381.39329244</v>
      </c>
      <c r="F30" s="15" t="n">
        <f aca="false">F29+B30</f>
        <v>656266.757792529</v>
      </c>
      <c r="G30" s="15" t="n">
        <f aca="false">C30/(1+Plan!$B$7)^A30</f>
        <v>792525.600250983</v>
      </c>
      <c r="H30" s="15" t="n">
        <f aca="false">C30-F30</f>
        <v>813031.401562002</v>
      </c>
    </row>
    <row r="31" customFormat="false" ht="15" hidden="false" customHeight="false" outlineLevel="0" collapsed="false">
      <c r="A31" s="28" t="n">
        <v>26</v>
      </c>
      <c r="B31" s="8" t="n">
        <f aca="false">Plan!$B$4*12*(1+Plan!$B$6)^(A31-1)</f>
        <v>37688.0027337759</v>
      </c>
      <c r="C31" s="15" t="n">
        <f aca="false">C30*(1+Plan!$E$33)+B31*(1+Plan!$E$33/2)</f>
        <v>1605054.73047985</v>
      </c>
      <c r="D31" s="15" t="n">
        <f aca="false">D30*(1+Plan!$E$33-Plan!$B$9)+B31*(1+(Plan!$E$33-Plan!$B$9)/2)</f>
        <v>1221954.99276199</v>
      </c>
      <c r="E31" s="15" t="n">
        <f aca="false">E30*(1+Plan!$E$33+Plan!$B$9)+B31*(1+(Plan!$E$33+Plan!$B$9)/2)</f>
        <v>2137679.65742745</v>
      </c>
      <c r="F31" s="15" t="n">
        <f aca="false">F30+B31</f>
        <v>693954.760526305</v>
      </c>
      <c r="G31" s="15" t="n">
        <f aca="false">C31/(1+Plan!$B$7)^A31</f>
        <v>844635.528948177</v>
      </c>
      <c r="H31" s="15" t="n">
        <f aca="false">C31-F31</f>
        <v>911099.969953544</v>
      </c>
    </row>
    <row r="32" customFormat="false" ht="15" hidden="false" customHeight="false" outlineLevel="0" collapsed="false">
      <c r="A32" s="28" t="n">
        <v>27</v>
      </c>
      <c r="B32" s="8" t="n">
        <f aca="false">Plan!$B$4*12*(1+Plan!$B$6)^(A32-1)</f>
        <v>38818.6428157892</v>
      </c>
      <c r="C32" s="15" t="n">
        <f aca="false">C31*(1+Plan!$E$33)+B32*(1+Plan!$E$33/2)</f>
        <v>1750925.55431504</v>
      </c>
      <c r="D32" s="15" t="n">
        <f aca="false">D31*(1+Plan!$E$33-Plan!$B$9)+B32*(1+(Plan!$E$33-Plan!$B$9)/2)</f>
        <v>1317752.25759818</v>
      </c>
      <c r="E32" s="15" t="n">
        <f aca="false">E31*(1+Plan!$E$33+Plan!$B$9)+B32*(1+(Plan!$E$33+Plan!$B$9)/2)</f>
        <v>2361792.24352519</v>
      </c>
      <c r="F32" s="15" t="n">
        <f aca="false">F31+B32</f>
        <v>732773.403342094</v>
      </c>
      <c r="G32" s="15" t="n">
        <f aca="false">C32/(1+Plan!$B$7)^A32</f>
        <v>898924.703699034</v>
      </c>
      <c r="H32" s="15" t="n">
        <f aca="false">C32-F32</f>
        <v>1018152.15097295</v>
      </c>
    </row>
    <row r="33" customFormat="false" ht="15" hidden="false" customHeight="false" outlineLevel="0" collapsed="false">
      <c r="A33" s="28" t="n">
        <v>28</v>
      </c>
      <c r="B33" s="8" t="n">
        <f aca="false">Plan!$B$4*12*(1+Plan!$B$6)^(A33-1)</f>
        <v>39983.2021002628</v>
      </c>
      <c r="C33" s="15" t="n">
        <f aca="false">C32*(1+Plan!$E$33)+B33*(1+Plan!$E$33/2)</f>
        <v>1907612.19695387</v>
      </c>
      <c r="D33" s="15" t="n">
        <f aca="false">D32*(1+Plan!$E$33-Plan!$B$9)+B33*(1+(Plan!$E$33-Plan!$B$9)/2)</f>
        <v>1419137.9028104</v>
      </c>
      <c r="E33" s="15" t="n">
        <f aca="false">E32*(1+Plan!$E$33+Plan!$B$9)+B33*(1+(Plan!$E$33+Plan!$B$9)/2)</f>
        <v>2606370.67787448</v>
      </c>
      <c r="F33" s="15" t="n">
        <f aca="false">F32+B33</f>
        <v>772756.605442357</v>
      </c>
      <c r="G33" s="15" t="n">
        <f aca="false">C33/(1+Plan!$B$7)^A33</f>
        <v>955480.569213409</v>
      </c>
      <c r="H33" s="15" t="n">
        <f aca="false">C33-F33</f>
        <v>1134855.59151151</v>
      </c>
    </row>
    <row r="34" customFormat="false" ht="15" hidden="false" customHeight="false" outlineLevel="0" collapsed="false">
      <c r="A34" s="28" t="n">
        <v>29</v>
      </c>
      <c r="B34" s="8" t="n">
        <f aca="false">Plan!$B$4*12*(1+Plan!$B$6)^(A34-1)</f>
        <v>41182.6981632707</v>
      </c>
      <c r="C34" s="15" t="n">
        <f aca="false">C33*(1+Plan!$E$33)+B34*(1+Plan!$E$33/2)</f>
        <v>2075863.50880088</v>
      </c>
      <c r="D34" s="15" t="n">
        <f aca="false">D33*(1+Plan!$E$33-Plan!$B$9)+B34*(1+(Plan!$E$33-Plan!$B$9)/2)</f>
        <v>1526404.17363552</v>
      </c>
      <c r="E34" s="15" t="n">
        <f aca="false">E33*(1+Plan!$E$33+Plan!$B$9)+B34*(1+(Plan!$E$33+Plan!$B$9)/2)</f>
        <v>2873209.41415328</v>
      </c>
      <c r="F34" s="15" t="n">
        <f aca="false">F33+B34</f>
        <v>813939.303605628</v>
      </c>
      <c r="G34" s="15" t="n">
        <f aca="false">C34/(1+Plan!$B$7)^A34</f>
        <v>1014394.0618363</v>
      </c>
      <c r="H34" s="15" t="n">
        <f aca="false">C34-F34</f>
        <v>1261924.20519525</v>
      </c>
    </row>
    <row r="35" customFormat="false" ht="15" hidden="false" customHeight="false" outlineLevel="0" collapsed="false">
      <c r="A35" s="28" t="n">
        <v>30</v>
      </c>
      <c r="B35" s="8" t="n">
        <f aca="false">Plan!$B$4*12*(1+Plan!$B$6)^(A35-1)</f>
        <v>42418.1791081689</v>
      </c>
      <c r="C35" s="15" t="n">
        <f aca="false">C34*(1+Plan!$E$33)+B35*(1+Plan!$E$33/2)</f>
        <v>2256478.77214064</v>
      </c>
      <c r="D35" s="15" t="n">
        <f aca="false">D34*(1+Plan!$E$33-Plan!$B$9)+B35*(1+(Plan!$E$33-Plan!$B$9)/2)</f>
        <v>1639857.80152409</v>
      </c>
      <c r="E35" s="15" t="n">
        <f aca="false">E34*(1+Plan!$E$33+Plan!$B$9)+B35*(1+(Plan!$E$33+Plan!$B$9)/2)</f>
        <v>3164258.14272991</v>
      </c>
      <c r="F35" s="15" t="n">
        <f aca="false">F34+B35</f>
        <v>856357.482713796</v>
      </c>
      <c r="G35" s="15" t="n">
        <f aca="false">C35/(1+Plan!$B$7)^A35</f>
        <v>1075759.74888419</v>
      </c>
      <c r="H35" s="15" t="n">
        <f aca="false">C35-F35</f>
        <v>1400121.28942684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9" t="s">
        <v>101</v>
      </c>
    </row>
    <row r="4" customFormat="false" ht="15" hidden="false" customHeight="false" outlineLevel="0" collapsed="false">
      <c r="A4" s="30" t="s">
        <v>102</v>
      </c>
    </row>
    <row r="5" customFormat="false" ht="15" hidden="false" customHeight="false" outlineLevel="0" collapsed="false">
      <c r="A5" s="30" t="s">
        <v>103</v>
      </c>
    </row>
    <row r="6" customFormat="false" ht="23.85" hidden="false" customHeight="false" outlineLevel="0" collapsed="false">
      <c r="A6" s="30" t="s">
        <v>104</v>
      </c>
    </row>
    <row r="7" customFormat="false" ht="15" hidden="false" customHeight="false" outlineLevel="0" collapsed="false">
      <c r="A7" s="30" t="s">
        <v>105</v>
      </c>
    </row>
    <row r="8" customFormat="false" ht="15" hidden="false" customHeight="false" outlineLevel="0" collapsed="false">
      <c r="A8" s="30"/>
    </row>
    <row r="9" customFormat="false" ht="15" hidden="false" customHeight="false" outlineLevel="0" collapsed="false">
      <c r="A9" s="29" t="s">
        <v>106</v>
      </c>
    </row>
    <row r="10" customFormat="false" ht="15" hidden="false" customHeight="false" outlineLevel="0" collapsed="false">
      <c r="A10" s="30" t="s">
        <v>107</v>
      </c>
    </row>
    <row r="11" customFormat="false" ht="15" hidden="false" customHeight="false" outlineLevel="0" collapsed="false">
      <c r="A11" s="30" t="s">
        <v>108</v>
      </c>
    </row>
    <row r="12" customFormat="false" ht="23.85" hidden="false" customHeight="false" outlineLevel="0" collapsed="false">
      <c r="A12" s="30" t="s">
        <v>109</v>
      </c>
    </row>
    <row r="13" customFormat="false" ht="15" hidden="false" customHeight="false" outlineLevel="0" collapsed="false">
      <c r="A13" s="30" t="s">
        <v>110</v>
      </c>
    </row>
    <row r="14" customFormat="false" ht="23.85" hidden="false" customHeight="false" outlineLevel="0" collapsed="false">
      <c r="A14" s="30" t="s">
        <v>111</v>
      </c>
    </row>
    <row r="15" customFormat="false" ht="23.85" hidden="false" customHeight="false" outlineLevel="0" collapsed="false">
      <c r="A15" s="30" t="s">
        <v>112</v>
      </c>
    </row>
    <row r="16" customFormat="false" ht="15" hidden="false" customHeight="false" outlineLevel="0" collapsed="false">
      <c r="A16" s="30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2026-10-02T03:23:32Z</dcterms:created>
  <dc:creator>openpyxl</dc:creator>
  <dc:description/>
  <dc:language>en-US</dc:language>
  <cp:lastModifiedBy/>
  <dcterms:modified xsi:type="dcterms:W3CDTF">2026-10-02T03:23:33Z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