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Historical" sheetId="3" state="visible" r:id="rId5"/>
    <sheet name="Projections" sheetId="4" state="visible" r:id="rId6"/>
    <sheet name="DCF" sheetId="5" state="visible" r:id="rId7"/>
    <sheet name="Valuation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<sst xmlns="http://schemas.openxmlformats.org/spreadsheetml/2006/main" count="331" uniqueCount="243">
  <si>
    <t xml:space="preserve">NVIDIA (NVDA) - Valuation &amp; Stock Pitch</t>
  </si>
  <si>
    <t xml:space="preserve">RECOMMENDATION</t>
  </si>
  <si>
    <t xml:space="preserve">Current share price ($)</t>
  </si>
  <si>
    <t xml:space="preserve">Probability-weighted fair value ($)</t>
  </si>
  <si>
    <t xml:space="preserve">Upside / (downside) to fair value</t>
  </si>
  <si>
    <t xml:space="preserve">12-month price target ($)</t>
  </si>
  <si>
    <t xml:space="preserve">Base-case DCF value ($)</t>
  </si>
  <si>
    <t xml:space="preserve">WACC / Base terminal growth</t>
  </si>
  <si>
    <t xml:space="preserve">Scenario analysis</t>
  </si>
  <si>
    <t xml:space="preserve">Scenario</t>
  </si>
  <si>
    <t xml:space="preserve">Probability</t>
  </si>
  <si>
    <t xml:space="preserve">DCF value ($)</t>
  </si>
  <si>
    <t xml:space="preserve">P/E value ($)</t>
  </si>
  <si>
    <t xml:space="preserve">Blended fair value ($)</t>
  </si>
  <si>
    <t xml:space="preserve">Upside vs. price</t>
  </si>
  <si>
    <t xml:space="preserve">FY2028E EPS ($)</t>
  </si>
  <si>
    <t xml:space="preserve">FY2031E revenue</t>
  </si>
  <si>
    <t xml:space="preserve">Bear</t>
  </si>
  <si>
    <t xml:space="preserve">Base</t>
  </si>
  <si>
    <t xml:space="preserve">Bull</t>
  </si>
  <si>
    <t xml:space="preserve">Probability-weighted</t>
  </si>
  <si>
    <t xml:space="preserve">Key metrics</t>
  </si>
  <si>
    <t xml:space="preserve">TTM revenue ($mm)</t>
  </si>
  <si>
    <t xml:space="preserve">TTM GAAP operating margin</t>
  </si>
  <si>
    <t xml:space="preserve">Q2 FY27 revenue growth (y/y)</t>
  </si>
  <si>
    <t xml:space="preserve">Q2 FY26 revenue $46,743mm (8-K)</t>
  </si>
  <si>
    <t xml:space="preserve">Q2 FY27 gross margin</t>
  </si>
  <si>
    <t xml:space="preserve">P/E (TTM, GAAP)</t>
  </si>
  <si>
    <t xml:space="preserve">P/E on FY2028E EPS (Base)</t>
  </si>
  <si>
    <t xml:space="preserve">Market cap ($mm)</t>
  </si>
  <si>
    <t xml:space="preserve">Base FY2027E revenue ($mm)</t>
  </si>
  <si>
    <t xml:space="preserve">Investment thesis, risks &amp; conclusion</t>
  </si>
  <si>
    <t xml:space="preserve">GROWTH: Q2 FY27 revenue of $96.2bn (+106% y/y), Data Center $89.0bn; Q3 guided to $108bn +/-2% with no China Data Center compute assumed.</t>
  </si>
  <si>
    <t xml:space="preserve">PROFITABILITY: GAAP gross margin 75.0% and operating margin ~66% in Q2 FY27 - elite for hardware; Q3 gross margin guided ~74%.</t>
  </si>
  <si>
    <t xml:space="preserve">BALANCE SHEET / CAPITAL RETURN: $56.6bn cash and debt securities, $25bn notes issued in Q2, ~$26bn returned in Q2, $99bn buyback authorization remaining.</t>
  </si>
  <si>
    <t xml:space="preserve">RISK - CASH CONVERSION: Q2 FCF fell to $21.3bn from $48.6bn as receivables rose $22bn (DSO 60 days vs. 45) and inventory rose ahead of Vera Rubin.</t>
  </si>
  <si>
    <t xml:space="preserve">RISK - CIRCULARITY &amp; CONCENTRATION: ~$94bn of equity stakes (marketable + non-marketable) in the AI ecosystem; large customers on extended payment terms.</t>
  </si>
  <si>
    <t xml:space="preserve">RISK - CYCLE &amp; VALUATION: results hinge on hyperscaler capex, custom-silicon competition and export controls; value is highly sensitive to WACC / terminal growth (see DCF sheet).</t>
  </si>
  <si>
    <t xml:space="preserve">Educational analysis built from public filings and clearly labelled assumptions - not investment advice. Flex the yellow cells on the Assumptions sheet.</t>
  </si>
  <si>
    <t xml:space="preserve">Chart data: value per share vs. current price ($)</t>
  </si>
  <si>
    <t xml:space="preserve">Current price</t>
  </si>
  <si>
    <t xml:space="preserve">Prob-weighted</t>
  </si>
  <si>
    <t xml:space="preserve">Assumptions &amp; Inputs</t>
  </si>
  <si>
    <t xml:space="preserve">Blue = hard-coded input | Black = formula | Green = link to another sheet | Yellow fill = key assumption to flex. $ in millions except per share.</t>
  </si>
  <si>
    <t xml:space="preserve">Market data &amp; balance sheet (as of Q2 FY27, quarter ended 26-Jul-2026)</t>
  </si>
  <si>
    <t xml:space="preserve">Valuation date</t>
  </si>
  <si>
    <t xml:space="preserve">Analysis date</t>
  </si>
  <si>
    <t xml:space="preserve">Close on 30-Sep-2026 (previous close per Yahoo Finance / Motley Fool quote, 1-Oct-2026). Update to refresh.</t>
  </si>
  <si>
    <t xml:space="preserve">Diluted shares outstanding (mm)</t>
  </si>
  <si>
    <t xml:space="preserve">Derived: Q2 FY27 GAAP net income $59,688mm / GAAP diluted EPS $2.46 (NVIDIA Q2 FY27 8-K). Basic ~24.1bn per market-data sites.</t>
  </si>
  <si>
    <t xml:space="preserve">Market capitalization</t>
  </si>
  <si>
    <t xml:space="preserve">Price x diluted shares</t>
  </si>
  <si>
    <t xml:space="preserve">Cash &amp; cash equivalents</t>
  </si>
  <si>
    <t xml:space="preserve">Q2 FY27 balance sheet</t>
  </si>
  <si>
    <t xml:space="preserve">Marketable debt securities</t>
  </si>
  <si>
    <t xml:space="preserve">Marketable equity securities</t>
  </si>
  <si>
    <t xml:space="preserve">Q2 FY27 balance sheet (strategic stakes, up from $12,886mm at FY26 year-end)</t>
  </si>
  <si>
    <t xml:space="preserve">Non-marketable securities</t>
  </si>
  <si>
    <t xml:space="preserve">Q2 FY27 balance sheet (private stakes, up from $22,251mm at FY26 year-end)</t>
  </si>
  <si>
    <t xml:space="preserve">Value credited: marketable equity (% of book)</t>
  </si>
  <si>
    <t xml:space="preserve">ASSUMPTION: full credit at market value</t>
  </si>
  <si>
    <t xml:space="preserve">Value credited: non-marketable securities (% of book)</t>
  </si>
  <si>
    <t xml:space="preserve">ASSUMPTION: 50% haircut - illiquid, partly stakes in NVIDIA customers/ecosystem</t>
  </si>
  <si>
    <t xml:space="preserve">Short-term debt</t>
  </si>
  <si>
    <t xml:space="preserve">Long-term debt</t>
  </si>
  <si>
    <t xml:space="preserve">Q2 FY27 balance sheet (incl. $25.0bn senior notes issued in Q2 FY27)</t>
  </si>
  <si>
    <t xml:space="preserve">Net cash &amp; investments (adjusted)</t>
  </si>
  <si>
    <t xml:space="preserve">Cash + debt securities + credited equity stakes - debt</t>
  </si>
  <si>
    <t xml:space="preserve">Enterprise value</t>
  </si>
  <si>
    <t xml:space="preserve">Market cap - adjusted net cash</t>
  </si>
  <si>
    <t xml:space="preserve">Cost of capital</t>
  </si>
  <si>
    <t xml:space="preserve">Risk-free rate (10-yr UST)</t>
  </si>
  <si>
    <t xml:space="preserve">ASSUMPTION: approx. 10-yr Treasury yield; verify against current curve</t>
  </si>
  <si>
    <t xml:space="preserve">Equity risk premium</t>
  </si>
  <si>
    <t xml:space="preserve">ASSUMPTION</t>
  </si>
  <si>
    <t xml:space="preserve">Beta</t>
  </si>
  <si>
    <t xml:space="preserve">ASSUMPTION: below 60-mo regression beta of 2.22 (Yahoo/Barchart), which reflects hyper-growth period; flex via DCF sensitivity</t>
  </si>
  <si>
    <t xml:space="preserve">Cost of equity (CAPM)</t>
  </si>
  <si>
    <t xml:space="preserve">Rf + Beta x ERP</t>
  </si>
  <si>
    <t xml:space="preserve">Pre-tax cost of debt</t>
  </si>
  <si>
    <t xml:space="preserve">ASSUMPTION: approx. yield on recent investment-grade notes</t>
  </si>
  <si>
    <t xml:space="preserve">Tax rate</t>
  </si>
  <si>
    <t xml:space="preserve">NVIDIA FY27 guidance: 16%-18% (Q2 FY27 press release)</t>
  </si>
  <si>
    <t xml:space="preserve">Debt weight  D/(D+E)</t>
  </si>
  <si>
    <t xml:space="preserve">Market-value weights</t>
  </si>
  <si>
    <t xml:space="preserve">WACC</t>
  </si>
  <si>
    <t xml:space="preserve">Discount rate used in DCF</t>
  </si>
  <si>
    <t xml:space="preserve">Operating &amp; decision-rule assumptions (all scenarios)</t>
  </si>
  <si>
    <t xml:space="preserve">D&amp;A (% of revenue)</t>
  </si>
  <si>
    <t xml:space="preserve">ASSUMPTION: asset-light model; D&amp;A is small vs. revenue</t>
  </si>
  <si>
    <t xml:space="preserve">Capex (% of revenue)</t>
  </si>
  <si>
    <t xml:space="preserve">ASSUMPTION: Q1 FY27 capex ~$1.8bn on $81.6bn revenue (~2.2%); trending lower as revenue scales</t>
  </si>
  <si>
    <t xml:space="preserve">Working-capital investment (% of change in revenue)</t>
  </si>
  <si>
    <t xml:space="preserve">ASSUMPTION: Q2 FY27 receivables +$22.3bn and inventory +$5.8bn on a $14.6bn revenue increase - heavy build; 12% blended through cycle</t>
  </si>
  <si>
    <t xml:space="preserve">1H FY27 actual free cash flow (already in cash)</t>
  </si>
  <si>
    <t xml:space="preserve">Q1 $48,554mm + Q2 $21,341mm (company-defined FCF). Removed from FY27E so only 2H FY27 is discounted.</t>
  </si>
  <si>
    <t xml:space="preserve">BUY if upside to fair value &gt;=</t>
  </si>
  <si>
    <t xml:space="preserve">ASSUMPTION: decision rule</t>
  </si>
  <si>
    <t xml:space="preserve">SELL if upside to fair value &lt;=</t>
  </si>
  <si>
    <t xml:space="preserve">ASSUMPTION: decision rule; in between = HOLD</t>
  </si>
  <si>
    <t xml:space="preserve">Weight on DCF in blended fair value</t>
  </si>
  <si>
    <t xml:space="preserve">Remainder weighted to forward P/E value (discounted to today at cost of equity)</t>
  </si>
  <si>
    <t xml:space="preserve">Scenario drivers</t>
  </si>
  <si>
    <t xml:space="preserve">Driver</t>
  </si>
  <si>
    <t xml:space="preserve">Rationale</t>
  </si>
  <si>
    <t xml:space="preserve">Must sum to 100% (check in column F)</t>
  </si>
  <si>
    <t xml:space="preserve">Revenue growth FY2027E</t>
  </si>
  <si>
    <t xml:space="preserve">1H FY27 revenue $177.8bn + Q3 guide $108.0bn +/-2% + Q4 est. =&gt; ~$405bn base (+88%)</t>
  </si>
  <si>
    <t xml:space="preserve">Revenue growth FY2028E</t>
  </si>
  <si>
    <t xml:space="preserve">Vera Rubin ramp vs. hyperscaler capex digestion</t>
  </si>
  <si>
    <t xml:space="preserve">Revenue growth FY2029E</t>
  </si>
  <si>
    <t xml:space="preserve">Law of large numbers; competition (custom ASICs, AMD)</t>
  </si>
  <si>
    <t xml:space="preserve">Revenue growth FY2030E</t>
  </si>
  <si>
    <t xml:space="preserve">Maturation of AI build-out</t>
  </si>
  <si>
    <t xml:space="preserve">Revenue growth FY2031E</t>
  </si>
  <si>
    <t xml:space="preserve">Bear assumes a cyclical downturn</t>
  </si>
  <si>
    <t xml:space="preserve">Operating margin FY2027E</t>
  </si>
  <si>
    <t xml:space="preserve">GAAP op. margin: FY26 60.4%; 1H FY27 65.9%; Q2 FY27 66.2%</t>
  </si>
  <si>
    <t xml:space="preserve">Operating margin FY2028E</t>
  </si>
  <si>
    <t xml:space="preserve">Q3 gross margin guided ~74.0% (down from 75.0%)</t>
  </si>
  <si>
    <t xml:space="preserve">Operating margin FY2029E</t>
  </si>
  <si>
    <t xml:space="preserve">Pricing pressure vs. scale leverage</t>
  </si>
  <si>
    <t xml:space="preserve">Operating margin FY2030E</t>
  </si>
  <si>
    <t xml:space="preserve">Operating margin FY2031E</t>
  </si>
  <si>
    <t xml:space="preserve">Terminal growth rate</t>
  </si>
  <si>
    <t xml:space="preserve">Long-run nominal growth; keep below WACC</t>
  </si>
  <si>
    <t xml:space="preserve">Target forward P/E on FY2028E EPS (x)</t>
  </si>
  <si>
    <t xml:space="preserve">Mature semis ~14-18x; premium growth 25x+</t>
  </si>
  <si>
    <t xml:space="preserve">Historical Financials (GAAP)</t>
  </si>
  <si>
    <t xml:space="preserve">$ in millions except per share. FY ends late January (FY2026 = year ended 25-Jan-2026). Blue = from filings; black = formula; "n/a" = not sourced.</t>
  </si>
  <si>
    <t xml:space="preserve">FY2024</t>
  </si>
  <si>
    <t xml:space="preserve">FY2025</t>
  </si>
  <si>
    <t xml:space="preserve">FY2026</t>
  </si>
  <si>
    <t xml:space="preserve">1H FY26</t>
  </si>
  <si>
    <t xml:space="preserve">1H FY27</t>
  </si>
  <si>
    <t xml:space="preserve">TTM (Jul-26)</t>
  </si>
  <si>
    <t xml:space="preserve">Q1 FY27</t>
  </si>
  <si>
    <t xml:space="preserve">Q2 FY27</t>
  </si>
  <si>
    <t xml:space="preserve">Source / note</t>
  </si>
  <si>
    <t xml:space="preserve">Revenue</t>
  </si>
  <si>
    <t xml:space="preserve">FY24 per 10-K; FY25-FY26, 1H and quarters per NVIDIA 8-Ks (Feb-26, Aug-26)</t>
  </si>
  <si>
    <t xml:space="preserve">  Data Center revenue</t>
  </si>
  <si>
    <t xml:space="preserve">n/a</t>
  </si>
  <si>
    <t xml:space="preserve">FY26 per company press release (+68% y/y); Q2 FY27 $89.0bn</t>
  </si>
  <si>
    <t xml:space="preserve">Gross profit</t>
  </si>
  <si>
    <t xml:space="preserve">1H FY27/Q1/Q2 derived: revenue - cost of revenue ($44,538mm 1H; $24,079mm Q2)</t>
  </si>
  <si>
    <t xml:space="preserve">Operating income</t>
  </si>
  <si>
    <t xml:space="preserve">Q1 FY27 derived = 1H - Q2</t>
  </si>
  <si>
    <t xml:space="preserve">Net income</t>
  </si>
  <si>
    <t xml:space="preserve">Includes gains on equity securities (other income $24.1bn in 1H FY27)</t>
  </si>
  <si>
    <t xml:space="preserve">Diluted EPS ($)</t>
  </si>
  <si>
    <t xml:space="preserve">TTM EPS approximated using current diluted shares</t>
  </si>
  <si>
    <t xml:space="preserve">Free cash flow (company-defined)</t>
  </si>
  <si>
    <t xml:space="preserve">OCF less capex &amp; principal payments; FY26 total not sourced</t>
  </si>
  <si>
    <t xml:space="preserve">Growth &amp; margins</t>
  </si>
  <si>
    <t xml:space="preserve">Revenue growth (y/y)</t>
  </si>
  <si>
    <t xml:space="preserve">Gross margin</t>
  </si>
  <si>
    <t xml:space="preserve">Operating margin</t>
  </si>
  <si>
    <t xml:space="preserve">Net margin</t>
  </si>
  <si>
    <t xml:space="preserve">FCF margin</t>
  </si>
  <si>
    <t xml:space="preserve">Data Center % of revenue</t>
  </si>
  <si>
    <t xml:space="preserve">Operating income growth (y/y)</t>
  </si>
  <si>
    <t xml:space="preserve">Net income growth (y/y)</t>
  </si>
  <si>
    <t xml:space="preserve">Revenue 2-yr CAGR (FY24-FY26)</t>
  </si>
  <si>
    <t xml:space="preserve">Projections - Unlevered Free Cash Flow by Scenario</t>
  </si>
  <si>
    <t xml:space="preserve">$ in millions. FY2027E-FY2031E. FY2027E is a full year; the 1H actual FCF is removed in the "FCF to discount" row so only 2H FY27 is valued. EPS ignores other income (conservative).</t>
  </si>
  <si>
    <t xml:space="preserve">BEAR CASE</t>
  </si>
  <si>
    <t xml:space="preserve">Fiscal year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</si>
  <si>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</si>
  <si>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</si>
  <si>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</si>
  <si>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</si>
  <si>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</si>
  <si>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</si>
  <si>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Period end date</t>
  </si>
  <si>
    <t xml:space="preserve">Revenue growth</t>
  </si>
  <si>
    <t xml:space="preserve">Operating income (EBIT)</t>
  </si>
  <si>
    <t xml:space="preserve">Less: taxes on EBIT</t>
  </si>
  <si>
    <t xml:space="preserve">NOPAT</t>
  </si>
  <si>
    <t xml:space="preserve">Plus: D&amp;A</t>
  </si>
  <si>
    <t xml:space="preserve">Less: capex</t>
  </si>
  <si>
    <t xml:space="preserve">Less: increase in working capital</t>
  </si>
  <si>
    <t xml:space="preserve">Unlevered free cash flow</t>
  </si>
  <si>
    <t xml:space="preserve">Less: 1H FY27 actual FCF (already realized)</t>
  </si>
  <si>
    <t xml:space="preserve">FCF to discount</t>
  </si>
  <si>
    <t xml:space="preserve">Discount period (years)</t>
  </si>
  <si>
    <t xml:space="preserve">Discount factor</t>
  </si>
  <si>
    <t xml:space="preserve">PV of FCF</t>
  </si>
  <si>
    <t xml:space="preserve">Net income (EBIT x (1-t))</t>
  </si>
  <si>
    <t xml:space="preserve">BASE CASE</t>
  </si>
  <si>
    <t xml:space="preserve">BULL CASE</t>
  </si>
  <si>
    <t xml:space="preserve">Discounted Cash Flow Valuation</t>
  </si>
  <si>
    <t xml:space="preserve">$ in millions except per share. Value as of the valuation date on the Assumptions sheet.</t>
  </si>
  <si>
    <t xml:space="preserve">PV of discrete FCF (2H FY27 - FY31)</t>
  </si>
  <si>
    <t xml:space="preserve">Terminal-year FCF (FY2031E)</t>
  </si>
  <si>
    <t xml:space="preserve">Terminal value at FY2031E</t>
  </si>
  <si>
    <t xml:space="preserve">Discount factor (FY2031E)</t>
  </si>
  <si>
    <t xml:space="preserve">PV of terminal value</t>
  </si>
  <si>
    <t xml:space="preserve">Plus: net cash &amp; investments (adjusted)</t>
  </si>
  <si>
    <t xml:space="preserve">Equity value</t>
  </si>
  <si>
    <t xml:space="preserve">Diluted shares (mm)</t>
  </si>
  <si>
    <t xml:space="preserve">DCF value per share ($)</t>
  </si>
  <si>
    <t xml:space="preserve">Current price ($)</t>
  </si>
  <si>
    <t xml:space="preserve">Upside / (downside) vs. price</t>
  </si>
  <si>
    <t xml:space="preserve">Terminal value as % of EV</t>
  </si>
  <si>
    <t xml:space="preserve">Implied terminal EV / EBIT (x)</t>
  </si>
  <si>
    <t xml:space="preserve">Sensitivity - Base case DCF value per share ($): WACC (down) vs. terminal growth (across)</t>
  </si>
  <si>
    <t xml:space="preserve">WACC  \  Terminal growth</t>
  </si>
  <si>
    <t xml:space="preserve">Centre cell (WACC and g at base values) equals the Base DCF value per share above.</t>
  </si>
  <si>
    <t xml:space="preserve">Sensitivity - Base case upside / (downside) vs. current price</t>
  </si>
  <si>
    <t xml:space="preserve">Relative Valuation - Current Multiples &amp; Forward P/E Value</t>
  </si>
  <si>
    <t xml:space="preserve">$ in millions except per share.</t>
  </si>
  <si>
    <t xml:space="preserve">Current trading multiples (TTM to Jul-2026, GAAP)</t>
  </si>
  <si>
    <t xml:space="preserve">Market cap</t>
  </si>
  <si>
    <t xml:space="preserve">TTM revenue</t>
  </si>
  <si>
    <t xml:space="preserve">TTM operating income</t>
  </si>
  <si>
    <t xml:space="preserve">TTM net income</t>
  </si>
  <si>
    <t xml:space="preserve">TTM GAAP net income includes large gains on equity securities; forward P/E is cleaner.</t>
  </si>
  <si>
    <t xml:space="preserve">EV / TTM revenue</t>
  </si>
  <si>
    <t xml:space="preserve">EV / TTM EBIT</t>
  </si>
  <si>
    <t xml:space="preserve">TTM operating margin</t>
  </si>
  <si>
    <t xml:space="preserve">P/E on FY2027E EPS (Base)</t>
  </si>
  <si>
    <t xml:space="preserve">Forward P/E-based value by scenario</t>
  </si>
  <si>
    <t xml:space="preserve">Target forward P/E (x)</t>
  </si>
  <si>
    <t xml:space="preserve">Price a year out if the market applies the target multiple to FY2028E EPS</t>
  </si>
  <si>
    <t xml:space="preserve">Discount to today at cost of equity</t>
  </si>
  <si>
    <t xml:space="preserve">P/E-based value today ($)</t>
  </si>
  <si>
    <t xml:space="preserve">Sources &amp; Notes</t>
  </si>
  <si>
    <t xml:space="preserve">DATA SOURCES</t>
  </si>
  <si>
    <t xml:space="preserve">NVIDIA Form 8-K / press release, Q4 &amp; FY2026 (25-Feb-2026): sec.gov / investor.nvidia.com - FY2026 revenue $215,938mm, operating income $130,387mm, net income $120,067mm, FY2025 comparatives.</t>
  </si>
  <si>
    <t xml:space="preserve">NVIDIA Form 8-K / press release &amp; CFO commentary, Q2 FY2027 (26-Aug-2026): revenue $96,221mm, GAAP net income $59,688mm, GAAP EPS $2.46, balance sheet, cash flow, Q3 guidance $108bn +/-2%.</t>
  </si>
  <si>
    <t xml:space="preserve">NVIDIA press release, Q1 FY2027: Q1 FCF $48,554mm; balance sheet at 26-Apr-2026.</t>
  </si>
  <si>
    <t xml:space="preserve">FY2024 figures from NVIDIA FY2024 Form 10-K (revenue $60,922mm, operating income $32,972mm, net income $29,760mm); FY2024/FY2025 FCF from 10-K cash flow statements.</t>
  </si>
  <si>
    <t xml:space="preserve">Share price / market data: Yahoo Finance and Motley Fool quotes (30-Sep / 1-Oct-2026): close $228.38; 52-week range $164.27-$236.54; analyst target range $180-$515 (avg ~$328).</t>
  </si>
  <si>
    <t xml:space="preserve">The Financial Datasets connector returned an out-of-credits error, so no data was taken from it.</t>
  </si>
  <si>
    <t xml:space="preserve">KEY MODELING NOTES</t>
  </si>
  <si>
    <t xml:space="preserve">1. DCF uses unlevered FCF = EBIT x (1 - tax) + D&amp;A - capex - working-capital build. Stock-based compensation is treated as a real cost (GAAP operating income).</t>
  </si>
  <si>
    <t xml:space="preserve">2. FY2027E FCF less actual 1H FY27 FCF ($69.9bn) is discounted as a 2H FY27 stub; balance-sheet cash is as of 26-Jul-2026, so no double counting.</t>
  </si>
  <si>
    <t xml:space="preserve">3. Equity stakes (marketable at 100%, non-marketable at 50%) are added to net cash; set both to 0% on Assumptions to see the operating business only.</t>
  </si>
  <si>
    <t xml:space="preserve">4. EPS in the projections excludes interest and investment gains (1H FY27 other income was $24.1bn, largely equity-security gains), which is conservative.</t>
  </si>
  <si>
    <t xml:space="preserve">5. Forward P/E value is a 12-month target on FY2028E EPS discounted back one year at the cost of equity, then blended with the DCF using the weight on Assumptions.</t>
  </si>
  <si>
    <t xml:space="preserve">6. Scenario probabilities, growth, margins, WACC inputs and multiples are analyst ASSUMPTIONS, not forecasts from NVIDIA or consensus.</t>
  </si>
  <si>
    <t xml:space="preserve">7. Educational analysis only; not investment advice. Verify all inputs before acting.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</si>
</sst>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\$#,##0;&quot;($&quot;#,##0\);\-"/>
    <numFmt numFmtId="168" formatCode="0.0\x"/>
    <numFmt numFmtId="169" formatCode="yyyy\-mm\-dd"/>
    <numFmt numFmtId="170" formatCode="#,##0;\(#,##0\);\-"/>
    <numFmt numFmtId="171" formatCode="0.00"/>
    <numFmt numFmtId="172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78787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Fair value per share vs.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Summary!$A$40:$A$44</c:f>
              <c:strCache>
                <c:ptCount val="5"/>
                <c:pt idx="0">
                  <c:v>Current price</c:v>
                </c:pt>
                <c:pt idx="1">
                  <c:v>Bear</c:v>
                </c:pt>
                <c:pt idx="2">
                  <c:v>Base</c:v>
                </c:pt>
                <c:pt idx="3">
                  <c:v>Bull</c:v>
                </c:pt>
                <c:pt idx="4">
                  <c:v>Prob-weighted</c:v>
                </c:pt>
              </c:strCache>
            </c:strRef>
          </c:cat>
          <c:val>
            <c:numRef>
              <c:f>Summary!$B$40:$B$44</c:f>
              <c:numCache>
                <c:formatCode>\$#,##0.00;"($"#,##0.00\);\-</c:formatCode>
                <c:ptCount val="5"/>
                <c:pt idx="0">
                  <c:v>228.38</c:v>
                </c:pt>
                <c:pt idx="1">
                  <c:v>114.665222867586</c:v>
                </c:pt>
                <c:pt idx="2">
                  <c:v>239.77515074823</c:v>
                </c:pt>
                <c:pt idx="3">
                  <c:v>357.47987285414</c:v>
                </c:pt>
                <c:pt idx="4">
                  <c:v>237.923849304546</c:v>
                </c:pt>
              </c:numCache>
            </c:numRef>
          </c:val>
        </c:ser>
        <c:gapWidth val="150"/>
        <c:overlap val="0"/>
        <c:axId val="21211369"/>
        <c:axId val="26534294"/>
      </c:barChart>
      <c:catAx>
        <c:axId val="21211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34294"/>
        <c:crosses val="autoZero"/>
        <c:auto val="1"/>
        <c:lblAlgn val="ctr"/>
        <c:lblOffset val="100"/>
        <c:noMultiLvlLbl val="0"/>
      </c:catAx>
      <c:valAx>
        <c:axId val="26534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11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case: revenue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Projections!$B$26:$G$26</c:f>
              <c:strCache>
                <c:ptCount val="6"/>
                <c:pt idx="0">
                  <c:v>FY2026A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</c:strCache>
            </c:strRef>
          </c:cat>
          <c:val>
            <c:numRef>
              <c:f>Projections!$B$29:$G$29</c:f>
              <c:numCache>
                <c:formatCode>\$#,##0;"($"#,##0\);\-</c:formatCode>
                <c:ptCount val="6"/>
                <c:pt idx="0">
                  <c:v>215938</c:v>
                </c:pt>
                <c:pt idx="1">
                  <c:v>405963.44</c:v>
                </c:pt>
                <c:pt idx="2">
                  <c:v>548050.644</c:v>
                </c:pt>
                <c:pt idx="3">
                  <c:v>657660.7728</c:v>
                </c:pt>
                <c:pt idx="4">
                  <c:v>736580.065536</c:v>
                </c:pt>
                <c:pt idx="5">
                  <c:v>795506.47077888</c:v>
                </c:pt>
              </c:numCache>
            </c:numRef>
          </c:val>
        </c:ser>
        <c:gapWidth val="150"/>
        <c:overlap val="0"/>
        <c:axId val="59850632"/>
        <c:axId val="64869938"/>
      </c:barChart>
      <c:catAx>
        <c:axId val="5985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69938"/>
        <c:crosses val="autoZero"/>
        <c:auto val="1"/>
        <c:lblAlgn val="ctr"/>
        <c:lblOffset val="100"/>
        <c:noMultiLvlLbl val="0"/>
      </c:catAx>
      <c:valAx>
        <c:axId val="64869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0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16</xdr:row>
      <xdr:rowOff>97200</xdr:rowOff>
    </xdr:to>
    <xdr:graphicFrame>
      <xdr:nvGraphicFramePr>
        <xdr:cNvPr id="0" name="Chart 1"/>
        <xdr:cNvGraphicFramePr/>
      </xdr:nvGraphicFramePr>
      <xdr:xfrm>
        <a:off x="113252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23</xdr:row>
      <xdr:rowOff>160560</xdr:rowOff>
    </xdr:from>
    <xdr:to>
      <xdr:col>16</xdr:col>
      <xdr:colOff>507600</xdr:colOff>
      <xdr:row>38</xdr:row>
      <xdr:rowOff>2880</xdr:rowOff>
    </xdr:to>
    <xdr:graphicFrame>
      <xdr:nvGraphicFramePr>
        <xdr:cNvPr id="1" name="Chart 1"/>
        <xdr:cNvGraphicFramePr/>
      </xdr:nvGraphicFramePr>
      <xdr:xfrm>
        <a:off x="9351720" y="4572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"Based on FY2024-FY2026 and 1H FY2027 financial statements | $ in millions except per share | Valuation date: "&amp;TEXT(Assumptions!B4,"d-mmm-yyyy")</f>
        <v>Based on FY2024-FY2026 and 1H FY2027 financial statements | $ in millions except per share | Valuation date: 1-Oct-2026</v>
      </c>
    </row>
    <row r="4" customFormat="false" ht="24" hidden="false" customHeight="true" outlineLevel="0" collapsed="false">
      <c r="A4" s="3" t="s">
        <v>1</v>
      </c>
      <c r="B4" s="4" t="str">
        <f aca="false">IF(B7&gt;=Assumptions!B34,"BUY",IF(B7&lt;=Assumptions!B35,"SELL","HOLD"))</f>
        <v>HOLD</v>
      </c>
      <c r="D4" s="5" t="str">
        <f aca="false">"Rule: BUY if upside &gt;= "&amp;TEXT(Assumptions!B34,"0%")&amp;"; SELL if &lt;= "&amp;TEXT(Assumptions!B35,"0%")&amp;"; otherwise HOLD."</f>
        <v>Rule: BUY if upside &gt;= 15%; SELL if &lt;= -10%; otherwise HOLD.</v>
      </c>
    </row>
    <row r="5" customFormat="false" ht="15" hidden="false" customHeight="false" outlineLevel="0" collapsed="false">
      <c r="A5" s="6" t="s">
        <v>2</v>
      </c>
      <c r="B5" s="7" t="n">
        <f aca="false">Assumptions!B5</f>
        <v>228.38</v>
      </c>
    </row>
    <row r="6" customFormat="false" ht="15" hidden="false" customHeight="false" outlineLevel="0" collapsed="false">
      <c r="A6" s="3" t="s">
        <v>3</v>
      </c>
      <c r="B6" s="8" t="n">
        <f aca="false">E17</f>
        <v>237.923849304546</v>
      </c>
    </row>
    <row r="7" customFormat="false" ht="15" hidden="false" customHeight="false" outlineLevel="0" collapsed="false">
      <c r="A7" s="3" t="s">
        <v>4</v>
      </c>
      <c r="B7" s="9" t="n">
        <f aca="false">B6/B5-1</f>
        <v>0.0417893392790363</v>
      </c>
    </row>
    <row r="8" customFormat="false" ht="15" hidden="false" customHeight="false" outlineLevel="0" collapsed="false">
      <c r="A8" s="6" t="s">
        <v>5</v>
      </c>
      <c r="B8" s="10" t="n">
        <f aca="false">B6*(1+Assumptions!B23)</f>
        <v>261.537791348023</v>
      </c>
    </row>
    <row r="9" customFormat="false" ht="15" hidden="false" customHeight="false" outlineLevel="0" collapsed="false">
      <c r="A9" s="6" t="s">
        <v>6</v>
      </c>
      <c r="B9" s="7" t="n">
        <f aca="false">DCF!C15</f>
        <v>231.877606228498</v>
      </c>
    </row>
    <row r="10" customFormat="false" ht="15" hidden="false" customHeight="false" outlineLevel="0" collapsed="false">
      <c r="A10" s="6" t="s">
        <v>7</v>
      </c>
      <c r="B10" s="11" t="n">
        <f aca="false">Assumptions!B27</f>
        <v>0.0988943627301473</v>
      </c>
      <c r="C10" s="11" t="n">
        <f aca="false">Assumptions!C52</f>
        <v>0.035</v>
      </c>
    </row>
    <row r="12" customFormat="false" ht="15" hidden="false" customHeight="false" outlineLevel="0" collapsed="false">
      <c r="A12" s="12" t="s">
        <v>8</v>
      </c>
      <c r="B12" s="13"/>
      <c r="C12" s="13"/>
      <c r="D12" s="13"/>
      <c r="E12" s="13"/>
      <c r="F12" s="13"/>
      <c r="G12" s="13"/>
      <c r="H12" s="13"/>
    </row>
    <row r="13" customFormat="false" ht="27.75" hidden="false" customHeight="true" outlineLevel="0" collapsed="false">
      <c r="A13" s="14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  <c r="G13" s="15" t="s">
        <v>15</v>
      </c>
      <c r="H13" s="15" t="s">
        <v>16</v>
      </c>
    </row>
    <row r="14" customFormat="false" ht="15" hidden="false" customHeight="false" outlineLevel="0" collapsed="false">
      <c r="A14" s="3" t="s">
        <v>17</v>
      </c>
      <c r="B14" s="11" t="n">
        <f aca="false">Assumptions!B41</f>
        <v>0.25</v>
      </c>
      <c r="C14" s="7" t="n">
        <f aca="false">DCF!B15</f>
        <v>111.171009386812</v>
      </c>
      <c r="D14" s="7" t="n">
        <f aca="false">Valuation!B22</f>
        <v>118.159436348361</v>
      </c>
      <c r="E14" s="8" t="n">
        <f aca="false">Assumptions!$B$36*C14+(1-Assumptions!$B$36)*D14</f>
        <v>114.665222867586</v>
      </c>
      <c r="F14" s="16" t="n">
        <f aca="false">E14/Assumptions!$B$5-1</f>
        <v>-0.497919157248505</v>
      </c>
      <c r="G14" s="7" t="n">
        <f aca="false">Projections!D23</f>
        <v>9.27762574328112</v>
      </c>
      <c r="H14" s="17" t="n">
        <f aca="false">Projections!G8</f>
        <v>450828.338415</v>
      </c>
    </row>
    <row r="15" customFormat="false" ht="15" hidden="false" customHeight="false" outlineLevel="0" collapsed="false">
      <c r="A15" s="3" t="s">
        <v>18</v>
      </c>
      <c r="B15" s="11" t="n">
        <f aca="false">Assumptions!C41</f>
        <v>0.5</v>
      </c>
      <c r="C15" s="7" t="n">
        <f aca="false">DCF!C15</f>
        <v>231.877606228498</v>
      </c>
      <c r="D15" s="7" t="n">
        <f aca="false">Valuation!C22</f>
        <v>247.672695267961</v>
      </c>
      <c r="E15" s="8" t="n">
        <f aca="false">Assumptions!$B$36*C15+(1-Assumptions!$B$36)*D15</f>
        <v>239.77515074823</v>
      </c>
      <c r="F15" s="16" t="n">
        <f aca="false">E15/Assumptions!$B$5-1</f>
        <v>0.0498955720651089</v>
      </c>
      <c r="G15" s="7" t="n">
        <f aca="false">Projections!D44</f>
        <v>12.3751913760594</v>
      </c>
      <c r="H15" s="17" t="n">
        <f aca="false">Projections!G29</f>
        <v>795506.47077888</v>
      </c>
    </row>
    <row r="16" customFormat="false" ht="15" hidden="false" customHeight="false" outlineLevel="0" collapsed="false">
      <c r="A16" s="3" t="s">
        <v>19</v>
      </c>
      <c r="B16" s="11" t="n">
        <f aca="false">Assumptions!D41</f>
        <v>0.25</v>
      </c>
      <c r="C16" s="7" t="n">
        <f aca="false">DCF!D15</f>
        <v>342.585334741348</v>
      </c>
      <c r="D16" s="7" t="n">
        <f aca="false">Valuation!D22</f>
        <v>372.374410966932</v>
      </c>
      <c r="E16" s="8" t="n">
        <f aca="false">Assumptions!$B$36*C16+(1-Assumptions!$B$36)*D16</f>
        <v>357.47987285414</v>
      </c>
      <c r="F16" s="16" t="n">
        <f aca="false">E16/Assumptions!$B$5-1</f>
        <v>0.565285370234433</v>
      </c>
      <c r="G16" s="7" t="n">
        <f aca="false">Projections!D65</f>
        <v>14.6190204019786</v>
      </c>
      <c r="H16" s="17" t="n">
        <f aca="false">Projections!G50</f>
        <v>1079606.3888064</v>
      </c>
    </row>
    <row r="17" customFormat="false" ht="15" hidden="false" customHeight="false" outlineLevel="0" collapsed="false">
      <c r="A17" s="18" t="s">
        <v>20</v>
      </c>
      <c r="B17" s="19" t="n">
        <f aca="false">SUM(B14:B16)</f>
        <v>1</v>
      </c>
      <c r="C17" s="20" t="n">
        <f aca="false">SUMPRODUCT($B$14:$B$16,C14:C16)</f>
        <v>229.377889146289</v>
      </c>
      <c r="D17" s="20" t="n">
        <f aca="false">SUMPRODUCT($B$14:$B$16,D14:D16)</f>
        <v>246.469809462804</v>
      </c>
      <c r="E17" s="20" t="n">
        <f aca="false">SUMPRODUCT($B$14:$B$16,E14:E16)</f>
        <v>237.923849304546</v>
      </c>
      <c r="F17" s="21" t="n">
        <f aca="false">E17/Assumptions!$B$5-1</f>
        <v>0.0417893392790363</v>
      </c>
      <c r="G17" s="20" t="n">
        <f aca="false">SUMPRODUCT($B$14:$B$16,G14:G16)</f>
        <v>12.1617572243446</v>
      </c>
      <c r="H17" s="22" t="n">
        <f aca="false">SUMPRODUCT($B$14:$B$16,H14:H16)</f>
        <v>780361.91719479</v>
      </c>
    </row>
    <row r="19" customFormat="false" ht="15" hidden="false" customHeight="false" outlineLevel="0" collapsed="false">
      <c r="A19" s="12" t="s">
        <v>21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6" t="s">
        <v>22</v>
      </c>
      <c r="B20" s="17" t="n">
        <f aca="false">Historical!G5</f>
        <v>302970</v>
      </c>
    </row>
    <row r="21" customFormat="false" ht="15" hidden="false" customHeight="false" outlineLevel="0" collapsed="false">
      <c r="A21" s="6" t="s">
        <v>23</v>
      </c>
      <c r="B21" s="11" t="n">
        <f aca="false">Valuation!B12</f>
        <v>0.652140475954715</v>
      </c>
    </row>
    <row r="22" customFormat="false" ht="15" hidden="false" customHeight="false" outlineLevel="0" collapsed="false">
      <c r="A22" s="6" t="s">
        <v>24</v>
      </c>
      <c r="B22" s="11" t="n">
        <f aca="false">Historical!I5/46743-1</f>
        <v>1.05851143486725</v>
      </c>
      <c r="C22" s="5" t="s">
        <v>25</v>
      </c>
    </row>
    <row r="23" customFormat="false" ht="15" hidden="false" customHeight="false" outlineLevel="0" collapsed="false">
      <c r="A23" s="6" t="s">
        <v>26</v>
      </c>
      <c r="B23" s="11" t="n">
        <f aca="false">Historical!I15</f>
        <v>0.749753172384407</v>
      </c>
    </row>
    <row r="24" customFormat="false" ht="15" hidden="false" customHeight="false" outlineLevel="0" collapsed="false">
      <c r="A24" s="6" t="s">
        <v>27</v>
      </c>
      <c r="B24" s="23" t="n">
        <f aca="false">Valuation!B9</f>
        <v>28.7251078390709</v>
      </c>
    </row>
    <row r="25" customFormat="false" ht="15" hidden="false" customHeight="false" outlineLevel="0" collapsed="false">
      <c r="A25" s="6" t="s">
        <v>28</v>
      </c>
      <c r="B25" s="23" t="n">
        <f aca="false">Valuation!B14</f>
        <v>18.4546640985138</v>
      </c>
    </row>
    <row r="26" customFormat="false" ht="15" hidden="false" customHeight="false" outlineLevel="0" collapsed="false">
      <c r="A26" s="6" t="s">
        <v>29</v>
      </c>
      <c r="B26" s="17" t="n">
        <f aca="false">Assumptions!B7</f>
        <v>5540498.8</v>
      </c>
    </row>
    <row r="27" customFormat="false" ht="15" hidden="false" customHeight="false" outlineLevel="0" collapsed="false">
      <c r="A27" s="6" t="s">
        <v>30</v>
      </c>
      <c r="B27" s="17" t="n">
        <f aca="false">Projections!C29</f>
        <v>405963.44</v>
      </c>
    </row>
    <row r="29" customFormat="false" ht="15" hidden="false" customHeight="false" outlineLevel="0" collapsed="false">
      <c r="A29" s="12" t="s">
        <v>31</v>
      </c>
      <c r="B29" s="13"/>
      <c r="C29" s="13"/>
      <c r="D29" s="13"/>
      <c r="E29" s="13"/>
      <c r="F29" s="13"/>
      <c r="G29" s="13"/>
      <c r="H29" s="13"/>
    </row>
    <row r="30" customFormat="false" ht="27.75" hidden="false" customHeight="true" outlineLevel="0" collapsed="false">
      <c r="A30" s="24" t="s">
        <v>32</v>
      </c>
      <c r="B30" s="24"/>
      <c r="C30" s="24"/>
      <c r="D30" s="24"/>
      <c r="E30" s="24"/>
      <c r="F30" s="24"/>
      <c r="G30" s="24"/>
      <c r="H30" s="24"/>
    </row>
    <row r="31" customFormat="false" ht="27.75" hidden="false" customHeight="true" outlineLevel="0" collapsed="false">
      <c r="A31" s="24" t="s">
        <v>33</v>
      </c>
      <c r="B31" s="24"/>
      <c r="C31" s="24"/>
      <c r="D31" s="24"/>
      <c r="E31" s="24"/>
      <c r="F31" s="24"/>
      <c r="G31" s="24"/>
      <c r="H31" s="24"/>
    </row>
    <row r="32" customFormat="false" ht="27.75" hidden="false" customHeight="true" outlineLevel="0" collapsed="false">
      <c r="A32" s="24" t="s">
        <v>34</v>
      </c>
      <c r="B32" s="24"/>
      <c r="C32" s="24"/>
      <c r="D32" s="24"/>
      <c r="E32" s="24"/>
      <c r="F32" s="24"/>
      <c r="G32" s="24"/>
      <c r="H32" s="24"/>
    </row>
    <row r="33" customFormat="false" ht="27.75" hidden="false" customHeight="true" outlineLevel="0" collapsed="false">
      <c r="A33" s="24" t="s">
        <v>35</v>
      </c>
      <c r="B33" s="24"/>
      <c r="C33" s="24"/>
      <c r="D33" s="24"/>
      <c r="E33" s="24"/>
      <c r="F33" s="24"/>
      <c r="G33" s="24"/>
      <c r="H33" s="24"/>
    </row>
    <row r="34" customFormat="false" ht="27.75" hidden="false" customHeight="true" outlineLevel="0" collapsed="false">
      <c r="A34" s="24" t="s">
        <v>36</v>
      </c>
      <c r="B34" s="24"/>
      <c r="C34" s="24"/>
      <c r="D34" s="24"/>
      <c r="E34" s="24"/>
      <c r="F34" s="24"/>
      <c r="G34" s="24"/>
      <c r="H34" s="24"/>
    </row>
    <row r="35" customFormat="false" ht="27.75" hidden="false" customHeight="true" outlineLevel="0" collapsed="false">
      <c r="A35" s="24" t="s">
        <v>37</v>
      </c>
      <c r="B35" s="24"/>
      <c r="C35" s="24"/>
      <c r="D35" s="24"/>
      <c r="E35" s="24"/>
      <c r="F35" s="24"/>
      <c r="G35" s="24"/>
      <c r="H35" s="24"/>
    </row>
    <row r="36" customFormat="false" ht="30" hidden="false" customHeight="true" outlineLevel="0" collapsed="false">
      <c r="A36" s="25" t="str">
        <f aca="false">"CONCLUSION: Model output is "&amp;B4&amp;" - probability-weighted fair value of "&amp;TEXT(B6,"$#,##0")&amp;" vs. price of "&amp;TEXT(B5,"$#,##0.00")&amp;" ("&amp;TEXT(B7,"+0.0%;-0.0%")&amp;"); Base-case DCF "&amp;TEXT(B9,"$#,##0")&amp;"."</f>
        <v>CONCLUSION: Model output is HOLD - probability-weighted fair value of $238 vs. price of $228.38 (+4.2%); Base-case DCF $232.</v>
      </c>
      <c r="B36" s="25"/>
      <c r="C36" s="25"/>
      <c r="D36" s="25"/>
      <c r="E36" s="25"/>
      <c r="F36" s="25"/>
      <c r="G36" s="25"/>
      <c r="H36" s="25"/>
    </row>
    <row r="37" customFormat="false" ht="27.75" hidden="false" customHeight="true" outlineLevel="0" collapsed="false">
      <c r="A37" s="26" t="s">
        <v>38</v>
      </c>
      <c r="B37" s="26"/>
      <c r="C37" s="26"/>
      <c r="D37" s="26"/>
      <c r="E37" s="26"/>
      <c r="F37" s="26"/>
      <c r="G37" s="26"/>
      <c r="H37" s="26"/>
    </row>
    <row r="39" customFormat="false" ht="15" hidden="false" customHeight="false" outlineLevel="0" collapsed="false">
      <c r="A39" s="12" t="s">
        <v>39</v>
      </c>
      <c r="B39" s="13"/>
      <c r="C39" s="13"/>
      <c r="D39" s="13"/>
      <c r="E39" s="13"/>
      <c r="F39" s="13"/>
      <c r="G39" s="13"/>
      <c r="H39" s="13"/>
    </row>
    <row r="40" customFormat="false" ht="15" hidden="false" customHeight="false" outlineLevel="0" collapsed="false">
      <c r="A40" s="6" t="s">
        <v>40</v>
      </c>
      <c r="B40" s="10" t="n">
        <f aca="false">B5</f>
        <v>228.38</v>
      </c>
    </row>
    <row r="41" customFormat="false" ht="15" hidden="false" customHeight="false" outlineLevel="0" collapsed="false">
      <c r="A41" s="6" t="s">
        <v>17</v>
      </c>
      <c r="B41" s="10" t="n">
        <f aca="false">E14</f>
        <v>114.665222867586</v>
      </c>
    </row>
    <row r="42" customFormat="false" ht="15" hidden="false" customHeight="false" outlineLevel="0" collapsed="false">
      <c r="A42" s="6" t="s">
        <v>18</v>
      </c>
      <c r="B42" s="10" t="n">
        <f aca="false">E15</f>
        <v>239.77515074823</v>
      </c>
    </row>
    <row r="43" customFormat="false" ht="15" hidden="false" customHeight="false" outlineLevel="0" collapsed="false">
      <c r="A43" s="6" t="s">
        <v>19</v>
      </c>
      <c r="B43" s="10" t="n">
        <f aca="false">E16</f>
        <v>357.47987285414</v>
      </c>
    </row>
    <row r="44" customFormat="false" ht="15" hidden="false" customHeight="false" outlineLevel="0" collapsed="false">
      <c r="A44" s="6" t="s">
        <v>41</v>
      </c>
      <c r="B44" s="10" t="n">
        <f aca="false">E17</f>
        <v>237.923849304546</v>
      </c>
    </row>
  </sheetData>
  <mergeCells count="8">
    <mergeCell ref="A30:H30"/>
    <mergeCell ref="A31:H31"/>
    <mergeCell ref="A32:H32"/>
    <mergeCell ref="A33:H33"/>
    <mergeCell ref="A34:H34"/>
    <mergeCell ref="A35:H35"/>
    <mergeCell ref="A36:H36"/>
    <mergeCell ref="A37:H37"/>
  </mergeCells>
  <conditionalFormatting sqref="B4">
    <cfRule type="expression" priority="2" aboveAverage="0" equalAverage="0" bottom="0" percent="0" rank="0" text="" dxfId="0">
      <formula>$B$4="BUY"</formula>
    </cfRule>
    <cfRule type="expression" priority="3" aboveAverage="0" equalAverage="0" bottom="0" percent="0" rank="0" text="" dxfId="1">
      <formula>$B$4="SELL"</formula>
    </cfRule>
    <cfRule type="expression" priority="4" aboveAverage="0" equalAverage="0" bottom="0" percent="0" rank="0" text="" dxfId="2">
      <formula>$B$4="HOLD"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12" t="s">
        <v>44</v>
      </c>
      <c r="B3" s="13"/>
      <c r="C3" s="13"/>
      <c r="D3" s="13"/>
      <c r="E3" s="13"/>
    </row>
    <row r="4" customFormat="false" ht="15" hidden="false" customHeight="false" outlineLevel="0" collapsed="false">
      <c r="A4" s="6" t="s">
        <v>45</v>
      </c>
      <c r="B4" s="27" t="n">
        <v>46296</v>
      </c>
      <c r="E4" s="5" t="s">
        <v>46</v>
      </c>
    </row>
    <row r="5" customFormat="false" ht="15" hidden="false" customHeight="false" outlineLevel="0" collapsed="false">
      <c r="A5" s="6" t="s">
        <v>2</v>
      </c>
      <c r="B5" s="28" t="n">
        <v>228.38</v>
      </c>
      <c r="E5" s="5" t="s">
        <v>47</v>
      </c>
    </row>
    <row r="6" customFormat="false" ht="15" hidden="false" customHeight="false" outlineLevel="0" collapsed="false">
      <c r="A6" s="6" t="s">
        <v>48</v>
      </c>
      <c r="B6" s="29" t="n">
        <v>24260</v>
      </c>
      <c r="E6" s="5" t="s">
        <v>49</v>
      </c>
    </row>
    <row r="7" customFormat="false" ht="15" hidden="false" customHeight="false" outlineLevel="0" collapsed="false">
      <c r="A7" s="6" t="s">
        <v>50</v>
      </c>
      <c r="B7" s="30" t="n">
        <f aca="false">B5*B6</f>
        <v>5540498.8</v>
      </c>
      <c r="E7" s="5" t="s">
        <v>51</v>
      </c>
    </row>
    <row r="8" customFormat="false" ht="15" hidden="false" customHeight="false" outlineLevel="0" collapsed="false">
      <c r="A8" s="6" t="s">
        <v>52</v>
      </c>
      <c r="B8" s="31" t="n">
        <v>22443</v>
      </c>
      <c r="E8" s="5" t="s">
        <v>53</v>
      </c>
    </row>
    <row r="9" customFormat="false" ht="15" hidden="false" customHeight="false" outlineLevel="0" collapsed="false">
      <c r="A9" s="6" t="s">
        <v>54</v>
      </c>
      <c r="B9" s="31" t="n">
        <v>34143</v>
      </c>
      <c r="E9" s="5" t="s">
        <v>53</v>
      </c>
    </row>
    <row r="10" customFormat="false" ht="15" hidden="false" customHeight="false" outlineLevel="0" collapsed="false">
      <c r="A10" s="6" t="s">
        <v>55</v>
      </c>
      <c r="B10" s="31" t="n">
        <v>42783</v>
      </c>
      <c r="E10" s="5" t="s">
        <v>56</v>
      </c>
    </row>
    <row r="11" customFormat="false" ht="15" hidden="false" customHeight="false" outlineLevel="0" collapsed="false">
      <c r="A11" s="6" t="s">
        <v>57</v>
      </c>
      <c r="B11" s="31" t="n">
        <v>51157</v>
      </c>
      <c r="E11" s="5" t="s">
        <v>58</v>
      </c>
    </row>
    <row r="12" customFormat="false" ht="15" hidden="false" customHeight="false" outlineLevel="0" collapsed="false">
      <c r="A12" s="6" t="s">
        <v>59</v>
      </c>
      <c r="B12" s="32" t="n">
        <v>1</v>
      </c>
      <c r="E12" s="5" t="s">
        <v>60</v>
      </c>
    </row>
    <row r="13" customFormat="false" ht="15" hidden="false" customHeight="false" outlineLevel="0" collapsed="false">
      <c r="A13" s="6" t="s">
        <v>61</v>
      </c>
      <c r="B13" s="32" t="n">
        <v>0.5</v>
      </c>
      <c r="E13" s="5" t="s">
        <v>62</v>
      </c>
    </row>
    <row r="14" customFormat="false" ht="15" hidden="false" customHeight="false" outlineLevel="0" collapsed="false">
      <c r="A14" s="6" t="s">
        <v>63</v>
      </c>
      <c r="B14" s="31" t="n">
        <v>1000</v>
      </c>
      <c r="E14" s="5" t="s">
        <v>53</v>
      </c>
    </row>
    <row r="15" customFormat="false" ht="15" hidden="false" customHeight="false" outlineLevel="0" collapsed="false">
      <c r="A15" s="6" t="s">
        <v>64</v>
      </c>
      <c r="B15" s="31" t="n">
        <v>32366</v>
      </c>
      <c r="E15" s="5" t="s">
        <v>65</v>
      </c>
    </row>
    <row r="16" customFormat="false" ht="15" hidden="false" customHeight="false" outlineLevel="0" collapsed="false">
      <c r="A16" s="6" t="s">
        <v>66</v>
      </c>
      <c r="B16" s="30" t="n">
        <f aca="false">B8+B9+B10*B12+B11*B13-B14-B15</f>
        <v>91581.5</v>
      </c>
      <c r="E16" s="5" t="s">
        <v>67</v>
      </c>
    </row>
    <row r="17" customFormat="false" ht="15" hidden="false" customHeight="false" outlineLevel="0" collapsed="false">
      <c r="A17" s="6" t="s">
        <v>68</v>
      </c>
      <c r="B17" s="30" t="n">
        <f aca="false">B7-B16</f>
        <v>5448917.3</v>
      </c>
      <c r="E17" s="5" t="s">
        <v>69</v>
      </c>
    </row>
    <row r="19" customFormat="false" ht="15" hidden="false" customHeight="false" outlineLevel="0" collapsed="false">
      <c r="A19" s="12" t="s">
        <v>70</v>
      </c>
      <c r="B19" s="13"/>
      <c r="C19" s="13"/>
      <c r="D19" s="13"/>
      <c r="E19" s="13"/>
    </row>
    <row r="20" customFormat="false" ht="15" hidden="false" customHeight="false" outlineLevel="0" collapsed="false">
      <c r="A20" s="6" t="s">
        <v>71</v>
      </c>
      <c r="B20" s="32" t="n">
        <v>0.043</v>
      </c>
      <c r="E20" s="5" t="s">
        <v>72</v>
      </c>
    </row>
    <row r="21" customFormat="false" ht="15" hidden="false" customHeight="false" outlineLevel="0" collapsed="false">
      <c r="A21" s="6" t="s">
        <v>73</v>
      </c>
      <c r="B21" s="32" t="n">
        <v>0.045</v>
      </c>
      <c r="E21" s="5" t="s">
        <v>74</v>
      </c>
    </row>
    <row r="22" customFormat="false" ht="15" hidden="false" customHeight="false" outlineLevel="0" collapsed="false">
      <c r="A22" s="6" t="s">
        <v>75</v>
      </c>
      <c r="B22" s="33" t="n">
        <v>1.25</v>
      </c>
      <c r="E22" s="5" t="s">
        <v>76</v>
      </c>
    </row>
    <row r="23" customFormat="false" ht="15" hidden="false" customHeight="false" outlineLevel="0" collapsed="false">
      <c r="A23" s="6" t="s">
        <v>77</v>
      </c>
      <c r="B23" s="16" t="n">
        <f aca="false">B20+B22*B21</f>
        <v>0.09925</v>
      </c>
      <c r="E23" s="5" t="s">
        <v>78</v>
      </c>
    </row>
    <row r="24" customFormat="false" ht="15" hidden="false" customHeight="false" outlineLevel="0" collapsed="false">
      <c r="A24" s="6" t="s">
        <v>79</v>
      </c>
      <c r="B24" s="34" t="n">
        <v>0.048</v>
      </c>
      <c r="E24" s="5" t="s">
        <v>80</v>
      </c>
    </row>
    <row r="25" customFormat="false" ht="15" hidden="false" customHeight="false" outlineLevel="0" collapsed="false">
      <c r="A25" s="6" t="s">
        <v>81</v>
      </c>
      <c r="B25" s="34" t="n">
        <v>0.17</v>
      </c>
      <c r="E25" s="5" t="s">
        <v>82</v>
      </c>
    </row>
    <row r="26" customFormat="false" ht="15" hidden="false" customHeight="false" outlineLevel="0" collapsed="false">
      <c r="A26" s="6" t="s">
        <v>83</v>
      </c>
      <c r="B26" s="16" t="n">
        <f aca="false">(B14+B15)/(B14+B15+B7)</f>
        <v>0.00598615165549046</v>
      </c>
      <c r="E26" s="5" t="s">
        <v>84</v>
      </c>
    </row>
    <row r="27" customFormat="false" ht="15" hidden="false" customHeight="false" outlineLevel="0" collapsed="false">
      <c r="A27" s="35" t="s">
        <v>85</v>
      </c>
      <c r="B27" s="36" t="n">
        <f aca="false">(1-B26)*B23+B26*B24*(1-B25)</f>
        <v>0.0988943627301473</v>
      </c>
      <c r="E27" s="5" t="s">
        <v>86</v>
      </c>
    </row>
    <row r="29" customFormat="false" ht="15" hidden="false" customHeight="false" outlineLevel="0" collapsed="false">
      <c r="A29" s="12" t="s">
        <v>87</v>
      </c>
      <c r="B29" s="13"/>
      <c r="C29" s="13"/>
      <c r="D29" s="13"/>
      <c r="E29" s="13"/>
    </row>
    <row r="30" customFormat="false" ht="15" hidden="false" customHeight="false" outlineLevel="0" collapsed="false">
      <c r="A30" s="6" t="s">
        <v>88</v>
      </c>
      <c r="B30" s="34" t="n">
        <v>0.012</v>
      </c>
      <c r="E30" s="5" t="s">
        <v>89</v>
      </c>
    </row>
    <row r="31" customFormat="false" ht="15" hidden="false" customHeight="false" outlineLevel="0" collapsed="false">
      <c r="A31" s="6" t="s">
        <v>90</v>
      </c>
      <c r="B31" s="34" t="n">
        <v>0.018</v>
      </c>
      <c r="E31" s="5" t="s">
        <v>91</v>
      </c>
    </row>
    <row r="32" customFormat="false" ht="15" hidden="false" customHeight="false" outlineLevel="0" collapsed="false">
      <c r="A32" s="6" t="s">
        <v>92</v>
      </c>
      <c r="B32" s="32" t="n">
        <v>0.12</v>
      </c>
      <c r="E32" s="5" t="s">
        <v>93</v>
      </c>
    </row>
    <row r="33" customFormat="false" ht="15" hidden="false" customHeight="false" outlineLevel="0" collapsed="false">
      <c r="A33" s="6" t="s">
        <v>94</v>
      </c>
      <c r="B33" s="31" t="n">
        <v>69895</v>
      </c>
      <c r="E33" s="5" t="s">
        <v>95</v>
      </c>
    </row>
    <row r="34" customFormat="false" ht="15" hidden="false" customHeight="false" outlineLevel="0" collapsed="false">
      <c r="A34" s="6" t="s">
        <v>96</v>
      </c>
      <c r="B34" s="32" t="n">
        <v>0.15</v>
      </c>
      <c r="E34" s="5" t="s">
        <v>97</v>
      </c>
    </row>
    <row r="35" customFormat="false" ht="15" hidden="false" customHeight="false" outlineLevel="0" collapsed="false">
      <c r="A35" s="6" t="s">
        <v>98</v>
      </c>
      <c r="B35" s="32" t="n">
        <v>-0.1</v>
      </c>
      <c r="E35" s="5" t="s">
        <v>99</v>
      </c>
    </row>
    <row r="36" customFormat="false" ht="15" hidden="false" customHeight="false" outlineLevel="0" collapsed="false">
      <c r="A36" s="6" t="s">
        <v>100</v>
      </c>
      <c r="B36" s="32" t="n">
        <v>0.5</v>
      </c>
      <c r="E36" s="5" t="s">
        <v>101</v>
      </c>
    </row>
    <row r="39" customFormat="false" ht="15" hidden="false" customHeight="false" outlineLevel="0" collapsed="false">
      <c r="A39" s="12" t="s">
        <v>102</v>
      </c>
      <c r="B39" s="13"/>
      <c r="C39" s="13"/>
      <c r="D39" s="13"/>
      <c r="E39" s="13"/>
    </row>
    <row r="40" customFormat="false" ht="15" hidden="false" customHeight="false" outlineLevel="0" collapsed="false">
      <c r="A40" s="14" t="s">
        <v>103</v>
      </c>
      <c r="B40" s="15" t="s">
        <v>17</v>
      </c>
      <c r="C40" s="15" t="s">
        <v>18</v>
      </c>
      <c r="D40" s="15" t="s">
        <v>19</v>
      </c>
      <c r="E40" s="15" t="s">
        <v>104</v>
      </c>
    </row>
    <row r="41" customFormat="false" ht="15" hidden="false" customHeight="false" outlineLevel="0" collapsed="false">
      <c r="A41" s="6" t="s">
        <v>10</v>
      </c>
      <c r="B41" s="32" t="n">
        <v>0.25</v>
      </c>
      <c r="C41" s="32" t="n">
        <v>0.5</v>
      </c>
      <c r="D41" s="32" t="n">
        <v>0.25</v>
      </c>
      <c r="E41" s="5" t="s">
        <v>105</v>
      </c>
      <c r="F41" s="6" t="str">
        <f aca="false">IF(ABS(SUM(B41:D41)-1)&lt;0.0001,"OK","CHECK: not 100%")</f>
        <v>OK</v>
      </c>
    </row>
    <row r="42" customFormat="false" ht="15" hidden="false" customHeight="false" outlineLevel="0" collapsed="false">
      <c r="A42" s="6" t="s">
        <v>106</v>
      </c>
      <c r="B42" s="34" t="n">
        <v>0.82</v>
      </c>
      <c r="C42" s="34" t="n">
        <v>0.88</v>
      </c>
      <c r="D42" s="34" t="n">
        <v>0.94</v>
      </c>
      <c r="E42" s="5" t="s">
        <v>107</v>
      </c>
    </row>
    <row r="43" customFormat="false" ht="15" hidden="false" customHeight="false" outlineLevel="0" collapsed="false">
      <c r="A43" s="6" t="s">
        <v>108</v>
      </c>
      <c r="B43" s="32" t="n">
        <v>0.15</v>
      </c>
      <c r="C43" s="32" t="n">
        <v>0.35</v>
      </c>
      <c r="D43" s="32" t="n">
        <v>0.5</v>
      </c>
      <c r="E43" s="5" t="s">
        <v>109</v>
      </c>
    </row>
    <row r="44" customFormat="false" ht="15" hidden="false" customHeight="false" outlineLevel="0" collapsed="false">
      <c r="A44" s="6" t="s">
        <v>110</v>
      </c>
      <c r="B44" s="34" t="n">
        <v>0.05</v>
      </c>
      <c r="C44" s="34" t="n">
        <v>0.2</v>
      </c>
      <c r="D44" s="34" t="n">
        <v>0.3</v>
      </c>
      <c r="E44" s="5" t="s">
        <v>111</v>
      </c>
    </row>
    <row r="45" customFormat="false" ht="15" hidden="false" customHeight="false" outlineLevel="0" collapsed="false">
      <c r="A45" s="6" t="s">
        <v>112</v>
      </c>
      <c r="B45" s="34" t="n">
        <v>0</v>
      </c>
      <c r="C45" s="34" t="n">
        <v>0.12</v>
      </c>
      <c r="D45" s="34" t="n">
        <v>0.18</v>
      </c>
      <c r="E45" s="5" t="s">
        <v>113</v>
      </c>
    </row>
    <row r="46" customFormat="false" ht="15" hidden="false" customHeight="false" outlineLevel="0" collapsed="false">
      <c r="A46" s="6" t="s">
        <v>114</v>
      </c>
      <c r="B46" s="34" t="n">
        <v>-0.05</v>
      </c>
      <c r="C46" s="34" t="n">
        <v>0.08</v>
      </c>
      <c r="D46" s="34" t="n">
        <v>0.12</v>
      </c>
      <c r="E46" s="5" t="s">
        <v>115</v>
      </c>
    </row>
    <row r="47" customFormat="false" ht="15" hidden="false" customHeight="false" outlineLevel="0" collapsed="false">
      <c r="A47" s="6" t="s">
        <v>116</v>
      </c>
      <c r="B47" s="34" t="n">
        <v>0.64</v>
      </c>
      <c r="C47" s="34" t="n">
        <v>0.66</v>
      </c>
      <c r="D47" s="34" t="n">
        <v>0.67</v>
      </c>
      <c r="E47" s="5" t="s">
        <v>117</v>
      </c>
    </row>
    <row r="48" customFormat="false" ht="15" hidden="false" customHeight="false" outlineLevel="0" collapsed="false">
      <c r="A48" s="6" t="s">
        <v>118</v>
      </c>
      <c r="B48" s="32" t="n">
        <v>0.6</v>
      </c>
      <c r="C48" s="32" t="n">
        <v>0.66</v>
      </c>
      <c r="D48" s="32" t="n">
        <v>0.68</v>
      </c>
      <c r="E48" s="5" t="s">
        <v>119</v>
      </c>
    </row>
    <row r="49" customFormat="false" ht="15" hidden="false" customHeight="false" outlineLevel="0" collapsed="false">
      <c r="A49" s="6" t="s">
        <v>120</v>
      </c>
      <c r="B49" s="34" t="n">
        <v>0.56</v>
      </c>
      <c r="C49" s="34" t="n">
        <v>0.65</v>
      </c>
      <c r="D49" s="34" t="n">
        <v>0.68</v>
      </c>
      <c r="E49" s="5" t="s">
        <v>121</v>
      </c>
    </row>
    <row r="50" customFormat="false" ht="15" hidden="false" customHeight="false" outlineLevel="0" collapsed="false">
      <c r="A50" s="6" t="s">
        <v>122</v>
      </c>
      <c r="B50" s="34" t="n">
        <v>0.52</v>
      </c>
      <c r="C50" s="34" t="n">
        <v>0.64</v>
      </c>
      <c r="D50" s="34" t="n">
        <v>0.67</v>
      </c>
      <c r="E50" s="5"/>
    </row>
    <row r="51" customFormat="false" ht="15" hidden="false" customHeight="false" outlineLevel="0" collapsed="false">
      <c r="A51" s="6" t="s">
        <v>123</v>
      </c>
      <c r="B51" s="34" t="n">
        <v>0.5</v>
      </c>
      <c r="C51" s="34" t="n">
        <v>0.63</v>
      </c>
      <c r="D51" s="34" t="n">
        <v>0.66</v>
      </c>
      <c r="E51" s="5"/>
    </row>
    <row r="52" customFormat="false" ht="15" hidden="false" customHeight="false" outlineLevel="0" collapsed="false">
      <c r="A52" s="6" t="s">
        <v>124</v>
      </c>
      <c r="B52" s="34" t="n">
        <v>0.03</v>
      </c>
      <c r="C52" s="34" t="n">
        <v>0.035</v>
      </c>
      <c r="D52" s="34" t="n">
        <v>0.04</v>
      </c>
      <c r="E52" s="5" t="s">
        <v>125</v>
      </c>
    </row>
    <row r="53" customFormat="false" ht="15" hidden="false" customHeight="false" outlineLevel="0" collapsed="false">
      <c r="A53" s="6" t="s">
        <v>126</v>
      </c>
      <c r="B53" s="37" t="n">
        <v>14</v>
      </c>
      <c r="C53" s="37" t="n">
        <v>22</v>
      </c>
      <c r="D53" s="37" t="n">
        <v>28</v>
      </c>
      <c r="E53" s="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3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14"/>
      <c r="B4" s="15" t="s">
        <v>130</v>
      </c>
      <c r="C4" s="15" t="s">
        <v>131</v>
      </c>
      <c r="D4" s="15" t="s">
        <v>132</v>
      </c>
      <c r="E4" s="15" t="s">
        <v>133</v>
      </c>
      <c r="F4" s="15" t="s">
        <v>134</v>
      </c>
      <c r="G4" s="15" t="s">
        <v>135</v>
      </c>
      <c r="H4" s="15" t="s">
        <v>136</v>
      </c>
      <c r="I4" s="15" t="s">
        <v>137</v>
      </c>
      <c r="J4" s="15" t="s">
        <v>138</v>
      </c>
    </row>
    <row r="5" customFormat="false" ht="15" hidden="false" customHeight="false" outlineLevel="0" collapsed="false">
      <c r="A5" s="6" t="s">
        <v>139</v>
      </c>
      <c r="B5" s="31" t="n">
        <v>60922</v>
      </c>
      <c r="C5" s="31" t="n">
        <v>130497</v>
      </c>
      <c r="D5" s="31" t="n">
        <v>215938</v>
      </c>
      <c r="E5" s="31" t="n">
        <v>90805</v>
      </c>
      <c r="F5" s="31" t="n">
        <v>177837</v>
      </c>
      <c r="G5" s="30" t="n">
        <f aca="false">D5-E5+F5</f>
        <v>302970</v>
      </c>
      <c r="H5" s="31" t="n">
        <v>81615</v>
      </c>
      <c r="I5" s="31" t="n">
        <v>96221</v>
      </c>
      <c r="J5" s="5" t="s">
        <v>140</v>
      </c>
    </row>
    <row r="6" customFormat="false" ht="15" hidden="false" customHeight="false" outlineLevel="0" collapsed="false">
      <c r="A6" s="6" t="s">
        <v>141</v>
      </c>
      <c r="B6" s="38" t="s">
        <v>142</v>
      </c>
      <c r="C6" s="31" t="n">
        <v>115186</v>
      </c>
      <c r="D6" s="31" t="n">
        <v>193700</v>
      </c>
      <c r="E6" s="38" t="s">
        <v>142</v>
      </c>
      <c r="F6" s="38" t="s">
        <v>142</v>
      </c>
      <c r="G6" s="38" t="s">
        <v>142</v>
      </c>
      <c r="H6" s="38" t="s">
        <v>142</v>
      </c>
      <c r="I6" s="31" t="n">
        <v>89020</v>
      </c>
      <c r="J6" s="5" t="s">
        <v>143</v>
      </c>
    </row>
    <row r="7" customFormat="false" ht="15" hidden="false" customHeight="false" outlineLevel="0" collapsed="false">
      <c r="A7" s="6" t="s">
        <v>144</v>
      </c>
      <c r="B7" s="31" t="n">
        <v>44301</v>
      </c>
      <c r="C7" s="31" t="n">
        <v>97858</v>
      </c>
      <c r="D7" s="31" t="n">
        <v>153463</v>
      </c>
      <c r="E7" s="31" t="n">
        <v>60521</v>
      </c>
      <c r="F7" s="31" t="n">
        <v>133299</v>
      </c>
      <c r="G7" s="30" t="n">
        <f aca="false">D7-E7+F7</f>
        <v>226241</v>
      </c>
      <c r="H7" s="31" t="n">
        <v>61156</v>
      </c>
      <c r="I7" s="31" t="n">
        <v>72142</v>
      </c>
      <c r="J7" s="5" t="s">
        <v>145</v>
      </c>
    </row>
    <row r="8" customFormat="false" ht="15" hidden="false" customHeight="false" outlineLevel="0" collapsed="false">
      <c r="A8" s="6" t="s">
        <v>146</v>
      </c>
      <c r="B8" s="31" t="n">
        <v>32972</v>
      </c>
      <c r="C8" s="31" t="n">
        <v>81453</v>
      </c>
      <c r="D8" s="31" t="n">
        <v>130387</v>
      </c>
      <c r="E8" s="31" t="n">
        <v>50078</v>
      </c>
      <c r="F8" s="31" t="n">
        <v>117270</v>
      </c>
      <c r="G8" s="30" t="n">
        <f aca="false">D8-E8+F8</f>
        <v>197579</v>
      </c>
      <c r="H8" s="31" t="n">
        <v>53536</v>
      </c>
      <c r="I8" s="31" t="n">
        <v>63734</v>
      </c>
      <c r="J8" s="5" t="s">
        <v>147</v>
      </c>
    </row>
    <row r="9" customFormat="false" ht="15" hidden="false" customHeight="false" outlineLevel="0" collapsed="false">
      <c r="A9" s="6" t="s">
        <v>148</v>
      </c>
      <c r="B9" s="31" t="n">
        <v>29760</v>
      </c>
      <c r="C9" s="31" t="n">
        <v>72880</v>
      </c>
      <c r="D9" s="31" t="n">
        <v>120067</v>
      </c>
      <c r="E9" s="31" t="n">
        <v>45197</v>
      </c>
      <c r="F9" s="31" t="n">
        <v>118010</v>
      </c>
      <c r="G9" s="30" t="n">
        <f aca="false">D9-E9+F9</f>
        <v>192880</v>
      </c>
      <c r="H9" s="31" t="n">
        <v>58321</v>
      </c>
      <c r="I9" s="31" t="n">
        <v>59688</v>
      </c>
      <c r="J9" s="5" t="s">
        <v>149</v>
      </c>
    </row>
    <row r="10" customFormat="false" ht="15" hidden="false" customHeight="false" outlineLevel="0" collapsed="false">
      <c r="A10" s="6" t="s">
        <v>150</v>
      </c>
      <c r="B10" s="39" t="n">
        <v>1.19</v>
      </c>
      <c r="C10" s="39" t="n">
        <v>2.94</v>
      </c>
      <c r="D10" s="39" t="n">
        <v>4.9</v>
      </c>
      <c r="E10" s="38" t="s">
        <v>142</v>
      </c>
      <c r="F10" s="38" t="s">
        <v>142</v>
      </c>
      <c r="G10" s="10" t="n">
        <f aca="false">G9/Assumptions!B6</f>
        <v>7.95053586150041</v>
      </c>
      <c r="H10" s="38" t="s">
        <v>142</v>
      </c>
      <c r="I10" s="39" t="n">
        <v>2.46</v>
      </c>
      <c r="J10" s="5" t="s">
        <v>151</v>
      </c>
    </row>
    <row r="11" customFormat="false" ht="15" hidden="false" customHeight="false" outlineLevel="0" collapsed="false">
      <c r="A11" s="6" t="s">
        <v>152</v>
      </c>
      <c r="B11" s="31" t="n">
        <v>27021</v>
      </c>
      <c r="C11" s="31" t="n">
        <v>60853</v>
      </c>
      <c r="D11" s="38" t="s">
        <v>142</v>
      </c>
      <c r="E11" s="31" t="n">
        <v>39584</v>
      </c>
      <c r="F11" s="31" t="n">
        <v>69895</v>
      </c>
      <c r="G11" s="38" t="s">
        <v>142</v>
      </c>
      <c r="H11" s="31" t="n">
        <v>48554</v>
      </c>
      <c r="I11" s="31" t="n">
        <v>21341</v>
      </c>
      <c r="J11" s="5" t="s">
        <v>153</v>
      </c>
    </row>
    <row r="13" customFormat="false" ht="15" hidden="false" customHeight="false" outlineLevel="0" collapsed="false">
      <c r="A13" s="12" t="s">
        <v>154</v>
      </c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6" t="s">
        <v>155</v>
      </c>
      <c r="C14" s="16" t="n">
        <f aca="false">C5/B5-1</f>
        <v>1.14203407635994</v>
      </c>
      <c r="D14" s="16" t="n">
        <f aca="false">D5/C5-1</f>
        <v>0.654735357900948</v>
      </c>
      <c r="F14" s="16" t="n">
        <f aca="false">F5/E5-1</f>
        <v>0.958449424591157</v>
      </c>
    </row>
    <row r="15" customFormat="false" ht="15" hidden="false" customHeight="false" outlineLevel="0" collapsed="false">
      <c r="A15" s="6" t="s">
        <v>156</v>
      </c>
      <c r="B15" s="16" t="n">
        <f aca="false">B7/B5</f>
        <v>0.72717573290437</v>
      </c>
      <c r="C15" s="16" t="n">
        <f aca="false">C7/C5</f>
        <v>0.749886970581699</v>
      </c>
      <c r="D15" s="16" t="n">
        <f aca="false">D7/D5</f>
        <v>0.710680843575471</v>
      </c>
      <c r="E15" s="16" t="n">
        <f aca="false">E7/E5</f>
        <v>0.666494135785474</v>
      </c>
      <c r="F15" s="16" t="n">
        <f aca="false">F7/F5</f>
        <v>0.749557178764824</v>
      </c>
      <c r="G15" s="16" t="n">
        <f aca="false">G7/G5</f>
        <v>0.746743902036505</v>
      </c>
      <c r="H15" s="16" t="n">
        <f aca="false">H7/H5</f>
        <v>0.74932304110764</v>
      </c>
      <c r="I15" s="16" t="n">
        <f aca="false">I7/I5</f>
        <v>0.749753172384407</v>
      </c>
    </row>
    <row r="16" customFormat="false" ht="15" hidden="false" customHeight="false" outlineLevel="0" collapsed="false">
      <c r="A16" s="6" t="s">
        <v>157</v>
      </c>
      <c r="B16" s="16" t="n">
        <f aca="false">B8/B5</f>
        <v>0.541216637667838</v>
      </c>
      <c r="C16" s="16" t="n">
        <f aca="false">C8/C5</f>
        <v>0.624175268396975</v>
      </c>
      <c r="D16" s="16" t="n">
        <f aca="false">D8/D5</f>
        <v>0.603816836314127</v>
      </c>
      <c r="E16" s="16" t="n">
        <f aca="false">E8/E5</f>
        <v>0.551489455426463</v>
      </c>
      <c r="F16" s="16" t="n">
        <f aca="false">F8/F5</f>
        <v>0.659424079353565</v>
      </c>
      <c r="G16" s="16" t="n">
        <f aca="false">G8/G5</f>
        <v>0.652140475954715</v>
      </c>
      <c r="H16" s="16" t="n">
        <f aca="false">H8/H5</f>
        <v>0.655957850885254</v>
      </c>
      <c r="I16" s="16" t="n">
        <f aca="false">I8/I5</f>
        <v>0.662371000093535</v>
      </c>
    </row>
    <row r="17" customFormat="false" ht="15" hidden="false" customHeight="false" outlineLevel="0" collapsed="false">
      <c r="A17" s="6" t="s">
        <v>158</v>
      </c>
      <c r="B17" s="16" t="n">
        <f aca="false">B9/B5</f>
        <v>0.488493483470667</v>
      </c>
      <c r="C17" s="16" t="n">
        <f aca="false">C9/C5</f>
        <v>0.558480271577124</v>
      </c>
      <c r="D17" s="16" t="n">
        <f aca="false">D9/D5</f>
        <v>0.556025340607026</v>
      </c>
      <c r="E17" s="16" t="n">
        <f aca="false">E9/E5</f>
        <v>0.497736908760531</v>
      </c>
      <c r="F17" s="16" t="n">
        <f aca="false">F9/F5</f>
        <v>0.663585193182521</v>
      </c>
      <c r="G17" s="16" t="n">
        <f aca="false">G9/G5</f>
        <v>0.636630689507212</v>
      </c>
      <c r="H17" s="16" t="n">
        <f aca="false">H9/H5</f>
        <v>0.714586779391043</v>
      </c>
      <c r="I17" s="16" t="n">
        <f aca="false">I9/I5</f>
        <v>0.620321967138151</v>
      </c>
    </row>
    <row r="18" customFormat="false" ht="15" hidden="false" customHeight="false" outlineLevel="0" collapsed="false">
      <c r="A18" s="6" t="s">
        <v>159</v>
      </c>
      <c r="B18" s="16" t="n">
        <f aca="false">B11/B5</f>
        <v>0.443534355405272</v>
      </c>
      <c r="C18" s="16" t="n">
        <f aca="false">C11/C5</f>
        <v>0.46631723334636</v>
      </c>
      <c r="E18" s="16" t="n">
        <f aca="false">E11/E5</f>
        <v>0.435923131986124</v>
      </c>
      <c r="F18" s="16" t="n">
        <f aca="false">F11/F5</f>
        <v>0.39302844739846</v>
      </c>
      <c r="H18" s="16" t="n">
        <f aca="false">H11/H5</f>
        <v>0.594915150401274</v>
      </c>
      <c r="I18" s="16" t="n">
        <f aca="false">I11/I5</f>
        <v>0.22179150081583</v>
      </c>
    </row>
    <row r="19" customFormat="false" ht="15" hidden="false" customHeight="false" outlineLevel="0" collapsed="false">
      <c r="A19" s="6" t="s">
        <v>160</v>
      </c>
      <c r="C19" s="16" t="n">
        <f aca="false">C6/C5</f>
        <v>0.88267163229806</v>
      </c>
      <c r="D19" s="16" t="n">
        <f aca="false">D6/D5</f>
        <v>0.897016736285415</v>
      </c>
      <c r="I19" s="16" t="n">
        <f aca="false">I6/I5</f>
        <v>0.925161866952121</v>
      </c>
    </row>
    <row r="20" customFormat="false" ht="15" hidden="false" customHeight="false" outlineLevel="0" collapsed="false">
      <c r="A20" s="6" t="s">
        <v>161</v>
      </c>
      <c r="C20" s="16" t="n">
        <f aca="false">C8/B8-1</f>
        <v>1.4703687977678</v>
      </c>
      <c r="D20" s="16" t="n">
        <f aca="false">D8/C8-1</f>
        <v>0.600763630559955</v>
      </c>
      <c r="F20" s="16" t="n">
        <f aca="false">F8/E8-1</f>
        <v>1.34174687487519</v>
      </c>
    </row>
    <row r="21" customFormat="false" ht="15" hidden="false" customHeight="false" outlineLevel="0" collapsed="false">
      <c r="A21" s="6" t="s">
        <v>162</v>
      </c>
      <c r="C21" s="16" t="n">
        <f aca="false">C9/B9-1</f>
        <v>1.4489247311828</v>
      </c>
      <c r="D21" s="16" t="n">
        <f aca="false">D9/C9-1</f>
        <v>0.647461580680571</v>
      </c>
      <c r="F21" s="16" t="n">
        <f aca="false">F9/E9-1</f>
        <v>1.61101400535434</v>
      </c>
    </row>
    <row r="23" customFormat="false" ht="15" hidden="false" customHeight="false" outlineLevel="0" collapsed="false">
      <c r="A23" s="6" t="s">
        <v>163</v>
      </c>
      <c r="D23" s="16" t="n">
        <f aca="false">(D5/B5)^(1/2)-1</f>
        <v>0.882684127510901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40" t="s">
        <v>166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167</v>
      </c>
      <c r="B5" s="15" t="s">
        <v>168</v>
      </c>
      <c r="C5" s="15" t="s">
        <v>169</v>
      </c>
      <c r="D5" s="15" t="s">
        <v>170</v>
      </c>
      <c r="E5" s="15" t="s">
        <v>171</v>
      </c>
      <c r="F5" s="15" t="s">
        <v>172</v>
      </c>
      <c r="G5" s="15" t="s">
        <v>173</v>
      </c>
    </row>
    <row r="6" customFormat="false" ht="15" hidden="false" customHeight="false" outlineLevel="0" collapsed="false">
      <c r="A6" s="6" t="s">
        <v>174</v>
      </c>
      <c r="C6" s="27" t="n">
        <v>46418</v>
      </c>
      <c r="D6" s="27" t="n">
        <v>46783</v>
      </c>
      <c r="E6" s="27" t="n">
        <v>47149</v>
      </c>
      <c r="F6" s="27" t="n">
        <v>47514</v>
      </c>
      <c r="G6" s="27" t="n">
        <v>47879</v>
      </c>
    </row>
    <row r="7" customFormat="false" ht="15" hidden="false" customHeight="false" outlineLevel="0" collapsed="false">
      <c r="A7" s="6" t="s">
        <v>175</v>
      </c>
      <c r="C7" s="11" t="n">
        <f aca="false">Assumptions!B42</f>
        <v>0.82</v>
      </c>
      <c r="D7" s="11" t="n">
        <f aca="false">Assumptions!B43</f>
        <v>0.15</v>
      </c>
      <c r="E7" s="11" t="n">
        <f aca="false">Assumptions!B44</f>
        <v>0.05</v>
      </c>
      <c r="F7" s="11" t="n">
        <f aca="false">Assumptions!B45</f>
        <v>0</v>
      </c>
      <c r="G7" s="11" t="n">
        <f aca="false">Assumptions!B46</f>
        <v>-0.05</v>
      </c>
    </row>
    <row r="8" customFormat="false" ht="15" hidden="false" customHeight="false" outlineLevel="0" collapsed="false">
      <c r="A8" s="3" t="s">
        <v>139</v>
      </c>
      <c r="B8" s="41" t="n">
        <f aca="false">Historical!D5</f>
        <v>215938</v>
      </c>
      <c r="C8" s="42" t="n">
        <f aca="false">B8*(1+C7)</f>
        <v>393007.16</v>
      </c>
      <c r="D8" s="42" t="n">
        <f aca="false">C8*(1+D7)</f>
        <v>451958.234</v>
      </c>
      <c r="E8" s="42" t="n">
        <f aca="false">D8*(1+E7)</f>
        <v>474556.1457</v>
      </c>
      <c r="F8" s="42" t="n">
        <f aca="false">E8*(1+F7)</f>
        <v>474556.1457</v>
      </c>
      <c r="G8" s="42" t="n">
        <f aca="false">F8*(1+G7)</f>
        <v>450828.338415</v>
      </c>
    </row>
    <row r="9" customFormat="false" ht="15" hidden="false" customHeight="false" outlineLevel="0" collapsed="false">
      <c r="A9" s="6" t="s">
        <v>157</v>
      </c>
      <c r="B9" s="11" t="n">
        <f aca="false">Historical!D16</f>
        <v>0.603816836314127</v>
      </c>
      <c r="C9" s="11" t="n">
        <f aca="false">Assumptions!B47</f>
        <v>0.64</v>
      </c>
      <c r="D9" s="11" t="n">
        <f aca="false">Assumptions!B48</f>
        <v>0.6</v>
      </c>
      <c r="E9" s="11" t="n">
        <f aca="false">Assumptions!B49</f>
        <v>0.56</v>
      </c>
      <c r="F9" s="11" t="n">
        <f aca="false">Assumptions!B50</f>
        <v>0.52</v>
      </c>
      <c r="G9" s="11" t="n">
        <f aca="false">Assumptions!B51</f>
        <v>0.5</v>
      </c>
    </row>
    <row r="10" customFormat="false" ht="15" hidden="false" customHeight="false" outlineLevel="0" collapsed="false">
      <c r="A10" s="6" t="s">
        <v>176</v>
      </c>
      <c r="B10" s="17" t="n">
        <f aca="false">Historical!D8</f>
        <v>130387</v>
      </c>
      <c r="C10" s="30" t="n">
        <f aca="false">C8*C9</f>
        <v>251524.5824</v>
      </c>
      <c r="D10" s="30" t="n">
        <f aca="false">D8*D9</f>
        <v>271174.9404</v>
      </c>
      <c r="E10" s="30" t="n">
        <f aca="false">E8*E9</f>
        <v>265751.441592</v>
      </c>
      <c r="F10" s="30" t="n">
        <f aca="false">F8*F9</f>
        <v>246769.195764</v>
      </c>
      <c r="G10" s="30" t="n">
        <f aca="false">G8*G9</f>
        <v>225414.1692075</v>
      </c>
    </row>
    <row r="11" customFormat="false" ht="15" hidden="false" customHeight="false" outlineLevel="0" collapsed="false">
      <c r="A11" s="6" t="s">
        <v>177</v>
      </c>
      <c r="C11" s="30" t="n">
        <f aca="false">-C10*Assumptions!$B$25</f>
        <v>-42759.179008</v>
      </c>
      <c r="D11" s="30" t="n">
        <f aca="false">-D10*Assumptions!$B$25</f>
        <v>-46099.739868</v>
      </c>
      <c r="E11" s="30" t="n">
        <f aca="false">-E10*Assumptions!$B$25</f>
        <v>-45177.74507064</v>
      </c>
      <c r="F11" s="30" t="n">
        <f aca="false">-F10*Assumptions!$B$25</f>
        <v>-41950.76327988</v>
      </c>
      <c r="G11" s="30" t="n">
        <f aca="false">-G10*Assumptions!$B$25</f>
        <v>-38320.408765275</v>
      </c>
    </row>
    <row r="12" customFormat="false" ht="15" hidden="false" customHeight="false" outlineLevel="0" collapsed="false">
      <c r="A12" s="6" t="s">
        <v>178</v>
      </c>
      <c r="C12" s="30" t="n">
        <f aca="false">C10+C11</f>
        <v>208765.403392</v>
      </c>
      <c r="D12" s="30" t="n">
        <f aca="false">D10+D11</f>
        <v>225075.200532</v>
      </c>
      <c r="E12" s="30" t="n">
        <f aca="false">E10+E11</f>
        <v>220573.69652136</v>
      </c>
      <c r="F12" s="30" t="n">
        <f aca="false">F10+F11</f>
        <v>204818.43248412</v>
      </c>
      <c r="G12" s="30" t="n">
        <f aca="false">G10+G11</f>
        <v>187093.760442225</v>
      </c>
    </row>
    <row r="13" customFormat="false" ht="15" hidden="false" customHeight="false" outlineLevel="0" collapsed="false">
      <c r="A13" s="6" t="s">
        <v>179</v>
      </c>
      <c r="C13" s="30" t="n">
        <f aca="false">C8*Assumptions!$B$30</f>
        <v>4716.08592</v>
      </c>
      <c r="D13" s="30" t="n">
        <f aca="false">D8*Assumptions!$B$30</f>
        <v>5423.498808</v>
      </c>
      <c r="E13" s="30" t="n">
        <f aca="false">E8*Assumptions!$B$30</f>
        <v>5694.6737484</v>
      </c>
      <c r="F13" s="30" t="n">
        <f aca="false">F8*Assumptions!$B$30</f>
        <v>5694.6737484</v>
      </c>
      <c r="G13" s="30" t="n">
        <f aca="false">G8*Assumptions!$B$30</f>
        <v>5409.94006098</v>
      </c>
    </row>
    <row r="14" customFormat="false" ht="15" hidden="false" customHeight="false" outlineLevel="0" collapsed="false">
      <c r="A14" s="6" t="s">
        <v>180</v>
      </c>
      <c r="C14" s="30" t="n">
        <f aca="false">-C8*Assumptions!$B$31</f>
        <v>-7074.12888</v>
      </c>
      <c r="D14" s="30" t="n">
        <f aca="false">-D8*Assumptions!$B$31</f>
        <v>-8135.248212</v>
      </c>
      <c r="E14" s="30" t="n">
        <f aca="false">-E8*Assumptions!$B$31</f>
        <v>-8542.0106226</v>
      </c>
      <c r="F14" s="30" t="n">
        <f aca="false">-F8*Assumptions!$B$31</f>
        <v>-8542.0106226</v>
      </c>
      <c r="G14" s="30" t="n">
        <f aca="false">-G8*Assumptions!$B$31</f>
        <v>-8114.91009147</v>
      </c>
    </row>
    <row r="15" customFormat="false" ht="15" hidden="false" customHeight="false" outlineLevel="0" collapsed="false">
      <c r="A15" s="6" t="s">
        <v>181</v>
      </c>
      <c r="C15" s="30" t="n">
        <f aca="false">-(C8-B8)*Assumptions!$B$32</f>
        <v>-21248.2992</v>
      </c>
      <c r="D15" s="30" t="n">
        <f aca="false">-(D8-C8)*Assumptions!$B$32</f>
        <v>-7074.12888</v>
      </c>
      <c r="E15" s="30" t="n">
        <f aca="false">-(E8-D8)*Assumptions!$B$32</f>
        <v>-2711.749404</v>
      </c>
      <c r="F15" s="30" t="n">
        <f aca="false">-(F8-E8)*Assumptions!$B$32</f>
        <v>-0</v>
      </c>
      <c r="G15" s="30" t="n">
        <f aca="false">-(G8-F8)*Assumptions!$B$32</f>
        <v>2847.33687420001</v>
      </c>
    </row>
    <row r="16" customFormat="false" ht="15" hidden="false" customHeight="false" outlineLevel="0" collapsed="false">
      <c r="A16" s="3" t="s">
        <v>182</v>
      </c>
      <c r="C16" s="42" t="n">
        <f aca="false">C12+C13+C14+C15</f>
        <v>185159.061232</v>
      </c>
      <c r="D16" s="42" t="n">
        <f aca="false">D12+D13+D14+D15</f>
        <v>215289.322248</v>
      </c>
      <c r="E16" s="42" t="n">
        <f aca="false">E12+E13+E14+E15</f>
        <v>215014.61024316</v>
      </c>
      <c r="F16" s="42" t="n">
        <f aca="false">F12+F13+F14+F15</f>
        <v>201971.09560992</v>
      </c>
      <c r="G16" s="42" t="n">
        <f aca="false">G12+G13+G14+G15</f>
        <v>187236.127285935</v>
      </c>
    </row>
    <row r="17" customFormat="false" ht="15" hidden="false" customHeight="false" outlineLevel="0" collapsed="false">
      <c r="A17" s="6" t="s">
        <v>183</v>
      </c>
      <c r="C17" s="17" t="n">
        <f aca="false">-Assumptions!$B$33</f>
        <v>-69895</v>
      </c>
      <c r="D17" s="30" t="n">
        <v>0</v>
      </c>
      <c r="E17" s="30" t="n">
        <v>0</v>
      </c>
      <c r="F17" s="30" t="n">
        <v>0</v>
      </c>
      <c r="G17" s="30" t="n">
        <v>0</v>
      </c>
    </row>
    <row r="18" customFormat="false" ht="15" hidden="false" customHeight="false" outlineLevel="0" collapsed="false">
      <c r="A18" s="6" t="s">
        <v>184</v>
      </c>
      <c r="C18" s="30" t="n">
        <f aca="false">C16+C17</f>
        <v>115264.061232</v>
      </c>
      <c r="D18" s="30" t="n">
        <f aca="false">D16+D17</f>
        <v>215289.322248</v>
      </c>
      <c r="E18" s="30" t="n">
        <f aca="false">E16+E17</f>
        <v>215014.61024316</v>
      </c>
      <c r="F18" s="30" t="n">
        <f aca="false">F16+F17</f>
        <v>201971.09560992</v>
      </c>
      <c r="G18" s="30" t="n">
        <f aca="false">G16+G17</f>
        <v>187236.127285935</v>
      </c>
    </row>
    <row r="19" customFormat="false" ht="15" hidden="false" customHeight="false" outlineLevel="0" collapsed="false">
      <c r="A19" s="6" t="s">
        <v>185</v>
      </c>
      <c r="C19" s="43" t="n">
        <f aca="false">(C6-Assumptions!$B$4)/365</f>
        <v>0.334246575342466</v>
      </c>
      <c r="D19" s="43" t="n">
        <f aca="false">(D6-Assumptions!$B$4)/365</f>
        <v>1.33424657534247</v>
      </c>
      <c r="E19" s="43" t="n">
        <f aca="false">(E6-Assumptions!$B$4)/365</f>
        <v>2.33698630136986</v>
      </c>
      <c r="F19" s="43" t="n">
        <f aca="false">(F6-Assumptions!$B$4)/365</f>
        <v>3.33698630136986</v>
      </c>
      <c r="G19" s="43" t="n">
        <f aca="false">(G6-Assumptions!$B$4)/365</f>
        <v>4.33698630136986</v>
      </c>
    </row>
    <row r="20" customFormat="false" ht="15" hidden="false" customHeight="false" outlineLevel="0" collapsed="false">
      <c r="A20" s="6" t="s">
        <v>186</v>
      </c>
      <c r="C20" s="44" t="n">
        <f aca="false">1/(1+Assumptions!$B$27)^C19</f>
        <v>0.968970634288975</v>
      </c>
      <c r="D20" s="44" t="n">
        <f aca="false">1/(1+Assumptions!$B$27)^D19</f>
        <v>0.881768682370539</v>
      </c>
      <c r="E20" s="44" t="n">
        <f aca="false">1/(1+Assumptions!$B$27)^E19</f>
        <v>0.802207127756452</v>
      </c>
      <c r="F20" s="44" t="n">
        <f aca="false">1/(1+Assumptions!$B$27)^F19</f>
        <v>0.730012961176185</v>
      </c>
      <c r="G20" s="44" t="n">
        <f aca="false">1/(1+Assumptions!$B$27)^G19</f>
        <v>0.664315866870502</v>
      </c>
    </row>
    <row r="21" customFormat="false" ht="15" hidden="false" customHeight="false" outlineLevel="0" collapsed="false">
      <c r="A21" s="6" t="s">
        <v>187</v>
      </c>
      <c r="C21" s="30" t="n">
        <f aca="false">C18*C20</f>
        <v>111687.490522694</v>
      </c>
      <c r="D21" s="30" t="n">
        <f aca="false">D18*D20</f>
        <v>189835.382007065</v>
      </c>
      <c r="E21" s="30" t="n">
        <f aca="false">E18*E20</f>
        <v>172486.252908838</v>
      </c>
      <c r="F21" s="30" t="n">
        <f aca="false">F18*F20</f>
        <v>147441.517578196</v>
      </c>
      <c r="G21" s="30" t="n">
        <f aca="false">G18*G20</f>
        <v>124383.930207431</v>
      </c>
    </row>
    <row r="22" customFormat="false" ht="15" hidden="false" customHeight="false" outlineLevel="0" collapsed="false">
      <c r="A22" s="6" t="s">
        <v>188</v>
      </c>
      <c r="C22" s="30" t="n">
        <f aca="false">C10*(1-Assumptions!$B$25)</f>
        <v>208765.403392</v>
      </c>
      <c r="D22" s="30" t="n">
        <f aca="false">D10*(1-Assumptions!$B$25)</f>
        <v>225075.200532</v>
      </c>
      <c r="E22" s="30" t="n">
        <f aca="false">E10*(1-Assumptions!$B$25)</f>
        <v>220573.69652136</v>
      </c>
      <c r="F22" s="30" t="n">
        <f aca="false">F10*(1-Assumptions!$B$25)</f>
        <v>204818.43248412</v>
      </c>
      <c r="G22" s="30" t="n">
        <f aca="false">G10*(1-Assumptions!$B$25)</f>
        <v>187093.760442225</v>
      </c>
    </row>
    <row r="23" customFormat="false" ht="15" hidden="false" customHeight="false" outlineLevel="0" collapsed="false">
      <c r="A23" s="6" t="s">
        <v>150</v>
      </c>
      <c r="C23" s="10" t="n">
        <f aca="false">C22/Assumptions!$B$6</f>
        <v>8.6053340227535</v>
      </c>
      <c r="D23" s="10" t="n">
        <f aca="false">D22/Assumptions!$B$6</f>
        <v>9.27762574328112</v>
      </c>
      <c r="E23" s="10" t="n">
        <f aca="false">E22/Assumptions!$B$6</f>
        <v>9.0920732284155</v>
      </c>
      <c r="F23" s="10" t="n">
        <f aca="false">F22/Assumptions!$B$6</f>
        <v>8.44263942638582</v>
      </c>
      <c r="G23" s="10" t="n">
        <f aca="false">G22/Assumptions!$B$6</f>
        <v>7.71202639910243</v>
      </c>
    </row>
    <row r="25" customFormat="false" ht="15" hidden="false" customHeight="false" outlineLevel="0" collapsed="false">
      <c r="A25" s="40" t="s">
        <v>189</v>
      </c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4" t="s">
        <v>167</v>
      </c>
      <c r="B26" s="15" t="s">
        <v>168</v>
      </c>
      <c r="C26" s="15" t="s">
        <v>169</v>
      </c>
      <c r="D26" s="15" t="s">
        <v>170</v>
      </c>
      <c r="E26" s="15" t="s">
        <v>171</v>
      </c>
      <c r="F26" s="15" t="s">
        <v>172</v>
      </c>
      <c r="G26" s="15" t="s">
        <v>173</v>
      </c>
    </row>
    <row r="27" customFormat="false" ht="15" hidden="false" customHeight="false" outlineLevel="0" collapsed="false">
      <c r="A27" s="6" t="s">
        <v>174</v>
      </c>
      <c r="C27" s="27" t="n">
        <v>46418</v>
      </c>
      <c r="D27" s="27" t="n">
        <v>46783</v>
      </c>
      <c r="E27" s="27" t="n">
        <v>47149</v>
      </c>
      <c r="F27" s="27" t="n">
        <v>47514</v>
      </c>
      <c r="G27" s="27" t="n">
        <v>47879</v>
      </c>
    </row>
    <row r="28" customFormat="false" ht="15" hidden="false" customHeight="false" outlineLevel="0" collapsed="false">
      <c r="A28" s="6" t="s">
        <v>175</v>
      </c>
      <c r="C28" s="11" t="n">
        <f aca="false">Assumptions!C42</f>
        <v>0.88</v>
      </c>
      <c r="D28" s="11" t="n">
        <f aca="false">Assumptions!C43</f>
        <v>0.35</v>
      </c>
      <c r="E28" s="11" t="n">
        <f aca="false">Assumptions!C44</f>
        <v>0.2</v>
      </c>
      <c r="F28" s="11" t="n">
        <f aca="false">Assumptions!C45</f>
        <v>0.12</v>
      </c>
      <c r="G28" s="11" t="n">
        <f aca="false">Assumptions!C46</f>
        <v>0.08</v>
      </c>
    </row>
    <row r="29" customFormat="false" ht="15" hidden="false" customHeight="false" outlineLevel="0" collapsed="false">
      <c r="A29" s="3" t="s">
        <v>139</v>
      </c>
      <c r="B29" s="41" t="n">
        <f aca="false">Historical!D5</f>
        <v>215938</v>
      </c>
      <c r="C29" s="42" t="n">
        <f aca="false">B29*(1+C28)</f>
        <v>405963.44</v>
      </c>
      <c r="D29" s="42" t="n">
        <f aca="false">C29*(1+D28)</f>
        <v>548050.644</v>
      </c>
      <c r="E29" s="42" t="n">
        <f aca="false">D29*(1+E28)</f>
        <v>657660.7728</v>
      </c>
      <c r="F29" s="42" t="n">
        <f aca="false">E29*(1+F28)</f>
        <v>736580.065536</v>
      </c>
      <c r="G29" s="42" t="n">
        <f aca="false">F29*(1+G28)</f>
        <v>795506.47077888</v>
      </c>
    </row>
    <row r="30" customFormat="false" ht="15" hidden="false" customHeight="false" outlineLevel="0" collapsed="false">
      <c r="A30" s="6" t="s">
        <v>157</v>
      </c>
      <c r="B30" s="11" t="n">
        <f aca="false">Historical!D16</f>
        <v>0.603816836314127</v>
      </c>
      <c r="C30" s="11" t="n">
        <f aca="false">Assumptions!C47</f>
        <v>0.66</v>
      </c>
      <c r="D30" s="11" t="n">
        <f aca="false">Assumptions!C48</f>
        <v>0.66</v>
      </c>
      <c r="E30" s="11" t="n">
        <f aca="false">Assumptions!C49</f>
        <v>0.65</v>
      </c>
      <c r="F30" s="11" t="n">
        <f aca="false">Assumptions!C50</f>
        <v>0.64</v>
      </c>
      <c r="G30" s="11" t="n">
        <f aca="false">Assumptions!C51</f>
        <v>0.63</v>
      </c>
    </row>
    <row r="31" customFormat="false" ht="15" hidden="false" customHeight="false" outlineLevel="0" collapsed="false">
      <c r="A31" s="6" t="s">
        <v>176</v>
      </c>
      <c r="B31" s="17" t="n">
        <f aca="false">Historical!D8</f>
        <v>130387</v>
      </c>
      <c r="C31" s="30" t="n">
        <f aca="false">C29*C30</f>
        <v>267935.8704</v>
      </c>
      <c r="D31" s="30" t="n">
        <f aca="false">D29*D30</f>
        <v>361713.42504</v>
      </c>
      <c r="E31" s="30" t="n">
        <f aca="false">E29*E30</f>
        <v>427479.50232</v>
      </c>
      <c r="F31" s="30" t="n">
        <f aca="false">F29*F30</f>
        <v>471411.24194304</v>
      </c>
      <c r="G31" s="30" t="n">
        <f aca="false">G29*G30</f>
        <v>501169.076590695</v>
      </c>
    </row>
    <row r="32" customFormat="false" ht="15" hidden="false" customHeight="false" outlineLevel="0" collapsed="false">
      <c r="A32" s="6" t="s">
        <v>177</v>
      </c>
      <c r="C32" s="30" t="n">
        <f aca="false">-C31*Assumptions!$B$25</f>
        <v>-45549.097968</v>
      </c>
      <c r="D32" s="30" t="n">
        <f aca="false">-D31*Assumptions!$B$25</f>
        <v>-61491.2822568</v>
      </c>
      <c r="E32" s="30" t="n">
        <f aca="false">-E31*Assumptions!$B$25</f>
        <v>-72671.5153944</v>
      </c>
      <c r="F32" s="30" t="n">
        <f aca="false">-F31*Assumptions!$B$25</f>
        <v>-80139.9111303168</v>
      </c>
      <c r="G32" s="30" t="n">
        <f aca="false">-G31*Assumptions!$B$25</f>
        <v>-85198.7430204181</v>
      </c>
    </row>
    <row r="33" customFormat="false" ht="15" hidden="false" customHeight="false" outlineLevel="0" collapsed="false">
      <c r="A33" s="6" t="s">
        <v>178</v>
      </c>
      <c r="C33" s="30" t="n">
        <f aca="false">C31+C32</f>
        <v>222386.772432</v>
      </c>
      <c r="D33" s="30" t="n">
        <f aca="false">D31+D32</f>
        <v>300222.1427832</v>
      </c>
      <c r="E33" s="30" t="n">
        <f aca="false">E31+E32</f>
        <v>354807.9869256</v>
      </c>
      <c r="F33" s="30" t="n">
        <f aca="false">F31+F32</f>
        <v>391271.330812723</v>
      </c>
      <c r="G33" s="30" t="n">
        <f aca="false">G31+G32</f>
        <v>415970.333570276</v>
      </c>
    </row>
    <row r="34" customFormat="false" ht="15" hidden="false" customHeight="false" outlineLevel="0" collapsed="false">
      <c r="A34" s="6" t="s">
        <v>179</v>
      </c>
      <c r="C34" s="30" t="n">
        <f aca="false">C29*Assumptions!$B$30</f>
        <v>4871.56128</v>
      </c>
      <c r="D34" s="30" t="n">
        <f aca="false">D29*Assumptions!$B$30</f>
        <v>6576.607728</v>
      </c>
      <c r="E34" s="30" t="n">
        <f aca="false">E29*Assumptions!$B$30</f>
        <v>7891.9292736</v>
      </c>
      <c r="F34" s="30" t="n">
        <f aca="false">F29*Assumptions!$B$30</f>
        <v>8838.960786432</v>
      </c>
      <c r="G34" s="30" t="n">
        <f aca="false">G29*Assumptions!$B$30</f>
        <v>9546.07764934656</v>
      </c>
    </row>
    <row r="35" customFormat="false" ht="15" hidden="false" customHeight="false" outlineLevel="0" collapsed="false">
      <c r="A35" s="6" t="s">
        <v>180</v>
      </c>
      <c r="C35" s="30" t="n">
        <f aca="false">-C29*Assumptions!$B$31</f>
        <v>-7307.34192</v>
      </c>
      <c r="D35" s="30" t="n">
        <f aca="false">-D29*Assumptions!$B$31</f>
        <v>-9864.911592</v>
      </c>
      <c r="E35" s="30" t="n">
        <f aca="false">-E29*Assumptions!$B$31</f>
        <v>-11837.8939104</v>
      </c>
      <c r="F35" s="30" t="n">
        <f aca="false">-F29*Assumptions!$B$31</f>
        <v>-13258.441179648</v>
      </c>
      <c r="G35" s="30" t="n">
        <f aca="false">-G29*Assumptions!$B$31</f>
        <v>-14319.1164740198</v>
      </c>
    </row>
    <row r="36" customFormat="false" ht="15" hidden="false" customHeight="false" outlineLevel="0" collapsed="false">
      <c r="A36" s="6" t="s">
        <v>181</v>
      </c>
      <c r="C36" s="30" t="n">
        <f aca="false">-(C29-B29)*Assumptions!$B$32</f>
        <v>-22803.0528</v>
      </c>
      <c r="D36" s="30" t="n">
        <f aca="false">-(D29-C29)*Assumptions!$B$32</f>
        <v>-17050.46448</v>
      </c>
      <c r="E36" s="30" t="n">
        <f aca="false">-(E29-D29)*Assumptions!$B$32</f>
        <v>-13153.215456</v>
      </c>
      <c r="F36" s="30" t="n">
        <f aca="false">-(F29-E29)*Assumptions!$B$32</f>
        <v>-9470.31512832</v>
      </c>
      <c r="G36" s="30" t="n">
        <f aca="false">-(G29-F29)*Assumptions!$B$32</f>
        <v>-7071.16862914561</v>
      </c>
    </row>
    <row r="37" customFormat="false" ht="15" hidden="false" customHeight="false" outlineLevel="0" collapsed="false">
      <c r="A37" s="3" t="s">
        <v>182</v>
      </c>
      <c r="C37" s="42" t="n">
        <f aca="false">C33+C34+C35+C36</f>
        <v>197147.938992</v>
      </c>
      <c r="D37" s="42" t="n">
        <f aca="false">D33+D34+D35+D36</f>
        <v>279883.3744392</v>
      </c>
      <c r="E37" s="42" t="n">
        <f aca="false">E33+E34+E35+E36</f>
        <v>337708.8068328</v>
      </c>
      <c r="F37" s="42" t="n">
        <f aca="false">F33+F34+F35+F36</f>
        <v>377381.535291187</v>
      </c>
      <c r="G37" s="42" t="n">
        <f aca="false">G33+G34+G35+G36</f>
        <v>404126.126116458</v>
      </c>
    </row>
    <row r="38" customFormat="false" ht="15" hidden="false" customHeight="false" outlineLevel="0" collapsed="false">
      <c r="A38" s="6" t="s">
        <v>183</v>
      </c>
      <c r="C38" s="17" t="n">
        <f aca="false">-Assumptions!$B$33</f>
        <v>-69895</v>
      </c>
      <c r="D38" s="30" t="n">
        <v>0</v>
      </c>
      <c r="E38" s="30" t="n">
        <v>0</v>
      </c>
      <c r="F38" s="30" t="n">
        <v>0</v>
      </c>
      <c r="G38" s="30" t="n">
        <v>0</v>
      </c>
    </row>
    <row r="39" customFormat="false" ht="15" hidden="false" customHeight="false" outlineLevel="0" collapsed="false">
      <c r="A39" s="6" t="s">
        <v>184</v>
      </c>
      <c r="C39" s="30" t="n">
        <f aca="false">C37+C38</f>
        <v>127252.938992</v>
      </c>
      <c r="D39" s="30" t="n">
        <f aca="false">D37+D38</f>
        <v>279883.3744392</v>
      </c>
      <c r="E39" s="30" t="n">
        <f aca="false">E37+E38</f>
        <v>337708.8068328</v>
      </c>
      <c r="F39" s="30" t="n">
        <f aca="false">F37+F38</f>
        <v>377381.535291187</v>
      </c>
      <c r="G39" s="30" t="n">
        <f aca="false">G37+G38</f>
        <v>404126.126116458</v>
      </c>
    </row>
    <row r="40" customFormat="false" ht="15" hidden="false" customHeight="false" outlineLevel="0" collapsed="false">
      <c r="A40" s="6" t="s">
        <v>185</v>
      </c>
      <c r="C40" s="43" t="n">
        <f aca="false">(C27-Assumptions!$B$4)/365</f>
        <v>0.334246575342466</v>
      </c>
      <c r="D40" s="43" t="n">
        <f aca="false">(D27-Assumptions!$B$4)/365</f>
        <v>1.33424657534247</v>
      </c>
      <c r="E40" s="43" t="n">
        <f aca="false">(E27-Assumptions!$B$4)/365</f>
        <v>2.33698630136986</v>
      </c>
      <c r="F40" s="43" t="n">
        <f aca="false">(F27-Assumptions!$B$4)/365</f>
        <v>3.33698630136986</v>
      </c>
      <c r="G40" s="43" t="n">
        <f aca="false">(G27-Assumptions!$B$4)/365</f>
        <v>4.33698630136986</v>
      </c>
    </row>
    <row r="41" customFormat="false" ht="15" hidden="false" customHeight="false" outlineLevel="0" collapsed="false">
      <c r="A41" s="6" t="s">
        <v>186</v>
      </c>
      <c r="C41" s="44" t="n">
        <f aca="false">1/(1+Assumptions!$B$27)^C40</f>
        <v>0.968970634288975</v>
      </c>
      <c r="D41" s="44" t="n">
        <f aca="false">1/(1+Assumptions!$B$27)^D40</f>
        <v>0.881768682370539</v>
      </c>
      <c r="E41" s="44" t="n">
        <f aca="false">1/(1+Assumptions!$B$27)^E40</f>
        <v>0.802207127756452</v>
      </c>
      <c r="F41" s="44" t="n">
        <f aca="false">1/(1+Assumptions!$B$27)^F40</f>
        <v>0.730012961176185</v>
      </c>
      <c r="G41" s="44" t="n">
        <f aca="false">1/(1+Assumptions!$B$27)^G40</f>
        <v>0.664315866870502</v>
      </c>
    </row>
    <row r="42" customFormat="false" ht="15" hidden="false" customHeight="false" outlineLevel="0" collapsed="false">
      <c r="A42" s="6" t="s">
        <v>187</v>
      </c>
      <c r="C42" s="30" t="n">
        <f aca="false">C39*C41</f>
        <v>123304.361010214</v>
      </c>
      <c r="D42" s="30" t="n">
        <f aca="false">D39*D41</f>
        <v>246792.394296673</v>
      </c>
      <c r="E42" s="30" t="n">
        <f aca="false">E39*E41</f>
        <v>270912.411947399</v>
      </c>
      <c r="F42" s="30" t="n">
        <f aca="false">F39*F41</f>
        <v>275493.412071135</v>
      </c>
      <c r="G42" s="30" t="n">
        <f aca="false">G39*G41</f>
        <v>268467.397796072</v>
      </c>
    </row>
    <row r="43" customFormat="false" ht="15" hidden="false" customHeight="false" outlineLevel="0" collapsed="false">
      <c r="A43" s="6" t="s">
        <v>188</v>
      </c>
      <c r="C43" s="30" t="n">
        <f aca="false">C31*(1-Assumptions!$B$25)</f>
        <v>222386.772432</v>
      </c>
      <c r="D43" s="30" t="n">
        <f aca="false">D31*(1-Assumptions!$B$25)</f>
        <v>300222.1427832</v>
      </c>
      <c r="E43" s="30" t="n">
        <f aca="false">E31*(1-Assumptions!$B$25)</f>
        <v>354807.9869256</v>
      </c>
      <c r="F43" s="30" t="n">
        <f aca="false">F31*(1-Assumptions!$B$25)</f>
        <v>391271.330812723</v>
      </c>
      <c r="G43" s="30" t="n">
        <f aca="false">G31*(1-Assumptions!$B$25)</f>
        <v>415970.333570276</v>
      </c>
    </row>
    <row r="44" customFormat="false" ht="15" hidden="false" customHeight="false" outlineLevel="0" collapsed="false">
      <c r="A44" s="6" t="s">
        <v>150</v>
      </c>
      <c r="C44" s="10" t="n">
        <f aca="false">C43/Assumptions!$B$6</f>
        <v>9.16680842671063</v>
      </c>
      <c r="D44" s="10" t="n">
        <f aca="false">D43/Assumptions!$B$6</f>
        <v>12.3751913760594</v>
      </c>
      <c r="E44" s="10" t="n">
        <f aca="false">E43/Assumptions!$B$6</f>
        <v>14.6252261717065</v>
      </c>
      <c r="F44" s="10" t="n">
        <f aca="false">F43/Assumptions!$B$6</f>
        <v>16.1282494151988</v>
      </c>
      <c r="G44" s="10" t="n">
        <f aca="false">G43/Assumptions!$B$6</f>
        <v>17.1463451595332</v>
      </c>
    </row>
    <row r="46" customFormat="false" ht="15" hidden="false" customHeight="false" outlineLevel="0" collapsed="false">
      <c r="A46" s="40" t="s">
        <v>190</v>
      </c>
      <c r="B46" s="13"/>
      <c r="C46" s="13"/>
      <c r="D46" s="13"/>
      <c r="E46" s="13"/>
      <c r="F46" s="13"/>
      <c r="G46" s="13"/>
    </row>
    <row r="47" customFormat="false" ht="15" hidden="false" customHeight="false" outlineLevel="0" collapsed="false">
      <c r="A47" s="14" t="s">
        <v>167</v>
      </c>
      <c r="B47" s="15" t="s">
        <v>168</v>
      </c>
      <c r="C47" s="15" t="s">
        <v>169</v>
      </c>
      <c r="D47" s="15" t="s">
        <v>170</v>
      </c>
      <c r="E47" s="15" t="s">
        <v>171</v>
      </c>
      <c r="F47" s="15" t="s">
        <v>172</v>
      </c>
      <c r="G47" s="15" t="s">
        <v>173</v>
      </c>
    </row>
    <row r="48" customFormat="false" ht="15" hidden="false" customHeight="false" outlineLevel="0" collapsed="false">
      <c r="A48" s="6" t="s">
        <v>174</v>
      </c>
      <c r="C48" s="27" t="n">
        <v>46418</v>
      </c>
      <c r="D48" s="27" t="n">
        <v>46783</v>
      </c>
      <c r="E48" s="27" t="n">
        <v>47149</v>
      </c>
      <c r="F48" s="27" t="n">
        <v>47514</v>
      </c>
      <c r="G48" s="27" t="n">
        <v>47879</v>
      </c>
    </row>
    <row r="49" customFormat="false" ht="15" hidden="false" customHeight="false" outlineLevel="0" collapsed="false">
      <c r="A49" s="6" t="s">
        <v>175</v>
      </c>
      <c r="C49" s="11" t="n">
        <f aca="false">Assumptions!D42</f>
        <v>0.94</v>
      </c>
      <c r="D49" s="11" t="n">
        <f aca="false">Assumptions!D43</f>
        <v>0.5</v>
      </c>
      <c r="E49" s="11" t="n">
        <f aca="false">Assumptions!D44</f>
        <v>0.3</v>
      </c>
      <c r="F49" s="11" t="n">
        <f aca="false">Assumptions!D45</f>
        <v>0.18</v>
      </c>
      <c r="G49" s="11" t="n">
        <f aca="false">Assumptions!D46</f>
        <v>0.12</v>
      </c>
    </row>
    <row r="50" customFormat="false" ht="15" hidden="false" customHeight="false" outlineLevel="0" collapsed="false">
      <c r="A50" s="3" t="s">
        <v>139</v>
      </c>
      <c r="B50" s="41" t="n">
        <f aca="false">Historical!D5</f>
        <v>215938</v>
      </c>
      <c r="C50" s="42" t="n">
        <f aca="false">B50*(1+C49)</f>
        <v>418919.72</v>
      </c>
      <c r="D50" s="42" t="n">
        <f aca="false">C50*(1+D49)</f>
        <v>628379.58</v>
      </c>
      <c r="E50" s="42" t="n">
        <f aca="false">D50*(1+E49)</f>
        <v>816893.454</v>
      </c>
      <c r="F50" s="42" t="n">
        <f aca="false">E50*(1+F49)</f>
        <v>963934.27572</v>
      </c>
      <c r="G50" s="42" t="n">
        <f aca="false">F50*(1+G49)</f>
        <v>1079606.3888064</v>
      </c>
    </row>
    <row r="51" customFormat="false" ht="15" hidden="false" customHeight="false" outlineLevel="0" collapsed="false">
      <c r="A51" s="6" t="s">
        <v>157</v>
      </c>
      <c r="B51" s="11" t="n">
        <f aca="false">Historical!D16</f>
        <v>0.603816836314127</v>
      </c>
      <c r="C51" s="11" t="n">
        <f aca="false">Assumptions!D47</f>
        <v>0.67</v>
      </c>
      <c r="D51" s="11" t="n">
        <f aca="false">Assumptions!D48</f>
        <v>0.68</v>
      </c>
      <c r="E51" s="11" t="n">
        <f aca="false">Assumptions!D49</f>
        <v>0.68</v>
      </c>
      <c r="F51" s="11" t="n">
        <f aca="false">Assumptions!D50</f>
        <v>0.67</v>
      </c>
      <c r="G51" s="11" t="n">
        <f aca="false">Assumptions!D51</f>
        <v>0.66</v>
      </c>
    </row>
    <row r="52" customFormat="false" ht="15" hidden="false" customHeight="false" outlineLevel="0" collapsed="false">
      <c r="A52" s="6" t="s">
        <v>176</v>
      </c>
      <c r="B52" s="17" t="n">
        <f aca="false">Historical!D8</f>
        <v>130387</v>
      </c>
      <c r="C52" s="30" t="n">
        <f aca="false">C50*C51</f>
        <v>280676.2124</v>
      </c>
      <c r="D52" s="30" t="n">
        <f aca="false">D50*D51</f>
        <v>427298.1144</v>
      </c>
      <c r="E52" s="30" t="n">
        <f aca="false">E50*E51</f>
        <v>555487.54872</v>
      </c>
      <c r="F52" s="30" t="n">
        <f aca="false">F50*F51</f>
        <v>645835.9647324</v>
      </c>
      <c r="G52" s="30" t="n">
        <f aca="false">G50*G51</f>
        <v>712540.216612224</v>
      </c>
    </row>
    <row r="53" customFormat="false" ht="15" hidden="false" customHeight="false" outlineLevel="0" collapsed="false">
      <c r="A53" s="6" t="s">
        <v>177</v>
      </c>
      <c r="C53" s="30" t="n">
        <f aca="false">-C52*Assumptions!$B$25</f>
        <v>-47714.956108</v>
      </c>
      <c r="D53" s="30" t="n">
        <f aca="false">-D52*Assumptions!$B$25</f>
        <v>-72640.679448</v>
      </c>
      <c r="E53" s="30" t="n">
        <f aca="false">-E52*Assumptions!$B$25</f>
        <v>-94432.8832824</v>
      </c>
      <c r="F53" s="30" t="n">
        <f aca="false">-F52*Assumptions!$B$25</f>
        <v>-109792.114004508</v>
      </c>
      <c r="G53" s="30" t="n">
        <f aca="false">-G52*Assumptions!$B$25</f>
        <v>-121131.836824078</v>
      </c>
    </row>
    <row r="54" customFormat="false" ht="15" hidden="false" customHeight="false" outlineLevel="0" collapsed="false">
      <c r="A54" s="6" t="s">
        <v>178</v>
      </c>
      <c r="C54" s="30" t="n">
        <f aca="false">C52+C53</f>
        <v>232961.256292</v>
      </c>
      <c r="D54" s="30" t="n">
        <f aca="false">D52+D53</f>
        <v>354657.434952</v>
      </c>
      <c r="E54" s="30" t="n">
        <f aca="false">E52+E53</f>
        <v>461054.6654376</v>
      </c>
      <c r="F54" s="30" t="n">
        <f aca="false">F52+F53</f>
        <v>536043.850727892</v>
      </c>
      <c r="G54" s="30" t="n">
        <f aca="false">G52+G53</f>
        <v>591408.379788146</v>
      </c>
    </row>
    <row r="55" customFormat="false" ht="15" hidden="false" customHeight="false" outlineLevel="0" collapsed="false">
      <c r="A55" s="6" t="s">
        <v>179</v>
      </c>
      <c r="C55" s="30" t="n">
        <f aca="false">C50*Assumptions!$B$30</f>
        <v>5027.03664</v>
      </c>
      <c r="D55" s="30" t="n">
        <f aca="false">D50*Assumptions!$B$30</f>
        <v>7540.55496</v>
      </c>
      <c r="E55" s="30" t="n">
        <f aca="false">E50*Assumptions!$B$30</f>
        <v>9802.721448</v>
      </c>
      <c r="F55" s="30" t="n">
        <f aca="false">F50*Assumptions!$B$30</f>
        <v>11567.21130864</v>
      </c>
      <c r="G55" s="30" t="n">
        <f aca="false">G50*Assumptions!$B$30</f>
        <v>12955.2766656768</v>
      </c>
    </row>
    <row r="56" customFormat="false" ht="15" hidden="false" customHeight="false" outlineLevel="0" collapsed="false">
      <c r="A56" s="6" t="s">
        <v>180</v>
      </c>
      <c r="C56" s="30" t="n">
        <f aca="false">-C50*Assumptions!$B$31</f>
        <v>-7540.55496</v>
      </c>
      <c r="D56" s="30" t="n">
        <f aca="false">-D50*Assumptions!$B$31</f>
        <v>-11310.83244</v>
      </c>
      <c r="E56" s="30" t="n">
        <f aca="false">-E50*Assumptions!$B$31</f>
        <v>-14704.082172</v>
      </c>
      <c r="F56" s="30" t="n">
        <f aca="false">-F50*Assumptions!$B$31</f>
        <v>-17350.81696296</v>
      </c>
      <c r="G56" s="30" t="n">
        <f aca="false">-G50*Assumptions!$B$31</f>
        <v>-19432.9149985152</v>
      </c>
    </row>
    <row r="57" customFormat="false" ht="15" hidden="false" customHeight="false" outlineLevel="0" collapsed="false">
      <c r="A57" s="6" t="s">
        <v>181</v>
      </c>
      <c r="C57" s="30" t="n">
        <f aca="false">-(C50-B50)*Assumptions!$B$32</f>
        <v>-24357.8064</v>
      </c>
      <c r="D57" s="30" t="n">
        <f aca="false">-(D50-C50)*Assumptions!$B$32</f>
        <v>-25135.1832</v>
      </c>
      <c r="E57" s="30" t="n">
        <f aca="false">-(E50-D50)*Assumptions!$B$32</f>
        <v>-22621.66488</v>
      </c>
      <c r="F57" s="30" t="n">
        <f aca="false">-(F50-E50)*Assumptions!$B$32</f>
        <v>-17644.8986064</v>
      </c>
      <c r="G57" s="30" t="n">
        <f aca="false">-(G50-F50)*Assumptions!$B$32</f>
        <v>-13880.653570368</v>
      </c>
    </row>
    <row r="58" customFormat="false" ht="15" hidden="false" customHeight="false" outlineLevel="0" collapsed="false">
      <c r="A58" s="3" t="s">
        <v>182</v>
      </c>
      <c r="C58" s="42" t="n">
        <f aca="false">C54+C55+C56+C57</f>
        <v>206089.931572</v>
      </c>
      <c r="D58" s="42" t="n">
        <f aca="false">D54+D55+D56+D57</f>
        <v>325751.974272</v>
      </c>
      <c r="E58" s="42" t="n">
        <f aca="false">E54+E55+E56+E57</f>
        <v>433531.6398336</v>
      </c>
      <c r="F58" s="42" t="n">
        <f aca="false">F54+F55+F56+F57</f>
        <v>512615.346467172</v>
      </c>
      <c r="G58" s="42" t="n">
        <f aca="false">G54+G55+G56+G57</f>
        <v>571050.08788494</v>
      </c>
    </row>
    <row r="59" customFormat="false" ht="15" hidden="false" customHeight="false" outlineLevel="0" collapsed="false">
      <c r="A59" s="6" t="s">
        <v>183</v>
      </c>
      <c r="C59" s="17" t="n">
        <f aca="false">-Assumptions!$B$33</f>
        <v>-69895</v>
      </c>
      <c r="D59" s="30" t="n">
        <v>0</v>
      </c>
      <c r="E59" s="30" t="n">
        <v>0</v>
      </c>
      <c r="F59" s="30" t="n">
        <v>0</v>
      </c>
      <c r="G59" s="30" t="n">
        <v>0</v>
      </c>
    </row>
    <row r="60" customFormat="false" ht="15" hidden="false" customHeight="false" outlineLevel="0" collapsed="false">
      <c r="A60" s="6" t="s">
        <v>184</v>
      </c>
      <c r="C60" s="30" t="n">
        <f aca="false">C58+C59</f>
        <v>136194.931572</v>
      </c>
      <c r="D60" s="30" t="n">
        <f aca="false">D58+D59</f>
        <v>325751.974272</v>
      </c>
      <c r="E60" s="30" t="n">
        <f aca="false">E58+E59</f>
        <v>433531.6398336</v>
      </c>
      <c r="F60" s="30" t="n">
        <f aca="false">F58+F59</f>
        <v>512615.346467172</v>
      </c>
      <c r="G60" s="30" t="n">
        <f aca="false">G58+G59</f>
        <v>571050.08788494</v>
      </c>
    </row>
    <row r="61" customFormat="false" ht="15" hidden="false" customHeight="false" outlineLevel="0" collapsed="false">
      <c r="A61" s="6" t="s">
        <v>185</v>
      </c>
      <c r="C61" s="43" t="n">
        <f aca="false">(C48-Assumptions!$B$4)/365</f>
        <v>0.334246575342466</v>
      </c>
      <c r="D61" s="43" t="n">
        <f aca="false">(D48-Assumptions!$B$4)/365</f>
        <v>1.33424657534247</v>
      </c>
      <c r="E61" s="43" t="n">
        <f aca="false">(E48-Assumptions!$B$4)/365</f>
        <v>2.33698630136986</v>
      </c>
      <c r="F61" s="43" t="n">
        <f aca="false">(F48-Assumptions!$B$4)/365</f>
        <v>3.33698630136986</v>
      </c>
      <c r="G61" s="43" t="n">
        <f aca="false">(G48-Assumptions!$B$4)/365</f>
        <v>4.33698630136986</v>
      </c>
    </row>
    <row r="62" customFormat="false" ht="15" hidden="false" customHeight="false" outlineLevel="0" collapsed="false">
      <c r="A62" s="6" t="s">
        <v>186</v>
      </c>
      <c r="C62" s="44" t="n">
        <f aca="false">1/(1+Assumptions!$B$27)^C61</f>
        <v>0.968970634288975</v>
      </c>
      <c r="D62" s="44" t="n">
        <f aca="false">1/(1+Assumptions!$B$27)^D61</f>
        <v>0.881768682370539</v>
      </c>
      <c r="E62" s="44" t="n">
        <f aca="false">1/(1+Assumptions!$B$27)^E61</f>
        <v>0.802207127756452</v>
      </c>
      <c r="F62" s="44" t="n">
        <f aca="false">1/(1+Assumptions!$B$27)^F61</f>
        <v>0.730012961176185</v>
      </c>
      <c r="G62" s="44" t="n">
        <f aca="false">1/(1+Assumptions!$B$27)^G61</f>
        <v>0.664315866870502</v>
      </c>
    </row>
    <row r="63" customFormat="false" ht="15" hidden="false" customHeight="false" outlineLevel="0" collapsed="false">
      <c r="A63" s="6" t="s">
        <v>187</v>
      </c>
      <c r="C63" s="30" t="n">
        <f aca="false">C60*C62</f>
        <v>131968.889232264</v>
      </c>
      <c r="D63" s="30" t="n">
        <f aca="false">D60*D62</f>
        <v>287237.889133423</v>
      </c>
      <c r="E63" s="30" t="n">
        <f aca="false">E60*E62</f>
        <v>347782.171582457</v>
      </c>
      <c r="F63" s="30" t="n">
        <f aca="false">F60*F62</f>
        <v>374215.847018857</v>
      </c>
      <c r="G63" s="30" t="n">
        <f aca="false">G60*G62</f>
        <v>379357.63415976</v>
      </c>
    </row>
    <row r="64" customFormat="false" ht="15" hidden="false" customHeight="false" outlineLevel="0" collapsed="false">
      <c r="A64" s="6" t="s">
        <v>188</v>
      </c>
      <c r="C64" s="30" t="n">
        <f aca="false">C52*(1-Assumptions!$B$25)</f>
        <v>232961.256292</v>
      </c>
      <c r="D64" s="30" t="n">
        <f aca="false">D52*(1-Assumptions!$B$25)</f>
        <v>354657.434952</v>
      </c>
      <c r="E64" s="30" t="n">
        <f aca="false">E52*(1-Assumptions!$B$25)</f>
        <v>461054.6654376</v>
      </c>
      <c r="F64" s="30" t="n">
        <f aca="false">F52*(1-Assumptions!$B$25)</f>
        <v>536043.850727892</v>
      </c>
      <c r="G64" s="30" t="n">
        <f aca="false">G52*(1-Assumptions!$B$25)</f>
        <v>591408.379788146</v>
      </c>
    </row>
    <row r="65" customFormat="false" ht="15" hidden="false" customHeight="false" outlineLevel="0" collapsed="false">
      <c r="A65" s="6" t="s">
        <v>150</v>
      </c>
      <c r="C65" s="10" t="n">
        <f aca="false">C64/Assumptions!$B$6</f>
        <v>9.60268987188788</v>
      </c>
      <c r="D65" s="10" t="n">
        <f aca="false">D64/Assumptions!$B$6</f>
        <v>14.6190204019786</v>
      </c>
      <c r="E65" s="10" t="n">
        <f aca="false">E64/Assumptions!$B$6</f>
        <v>19.0047265225721</v>
      </c>
      <c r="F65" s="10" t="n">
        <f aca="false">F64/Assumptions!$B$6</f>
        <v>22.095789395214</v>
      </c>
      <c r="G65" s="10" t="n">
        <f aca="false">G64/Assumptions!$B$6</f>
        <v>24.3779216730481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8" min="5" style="0" width="13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3" customFormat="false" ht="15" hidden="false" customHeight="false" outlineLevel="0" collapsed="false">
      <c r="A3" s="14"/>
      <c r="B3" s="15" t="s">
        <v>17</v>
      </c>
      <c r="C3" s="15" t="s">
        <v>18</v>
      </c>
      <c r="D3" s="15" t="s">
        <v>19</v>
      </c>
    </row>
    <row r="4" customFormat="false" ht="15" hidden="false" customHeight="false" outlineLevel="0" collapsed="false">
      <c r="A4" s="6" t="s">
        <v>193</v>
      </c>
      <c r="B4" s="17" t="n">
        <f aca="false">SUM(Projections!C21:G21)</f>
        <v>745834.573224225</v>
      </c>
      <c r="C4" s="17" t="n">
        <f aca="false">SUM(Projections!C42:G42)</f>
        <v>1184969.97712149</v>
      </c>
      <c r="D4" s="17" t="n">
        <f aca="false">SUM(Projections!C63:G63)</f>
        <v>1520562.43112676</v>
      </c>
    </row>
    <row r="5" customFormat="false" ht="15" hidden="false" customHeight="false" outlineLevel="0" collapsed="false">
      <c r="A5" s="6" t="s">
        <v>194</v>
      </c>
      <c r="B5" s="17" t="n">
        <f aca="false">Projections!G16</f>
        <v>187236.127285935</v>
      </c>
      <c r="C5" s="17" t="n">
        <f aca="false">Projections!G37</f>
        <v>404126.126116458</v>
      </c>
      <c r="D5" s="17" t="n">
        <f aca="false">Projections!G58</f>
        <v>571050.08788494</v>
      </c>
    </row>
    <row r="6" customFormat="false" ht="15" hidden="false" customHeight="false" outlineLevel="0" collapsed="false">
      <c r="A6" s="6" t="s">
        <v>124</v>
      </c>
      <c r="B6" s="11" t="n">
        <f aca="false">Assumptions!B52</f>
        <v>0.03</v>
      </c>
      <c r="C6" s="11" t="n">
        <f aca="false">Assumptions!C52</f>
        <v>0.035</v>
      </c>
      <c r="D6" s="11" t="n">
        <f aca="false">Assumptions!D52</f>
        <v>0.04</v>
      </c>
    </row>
    <row r="7" customFormat="false" ht="15" hidden="false" customHeight="false" outlineLevel="0" collapsed="false">
      <c r="A7" s="6" t="s">
        <v>85</v>
      </c>
      <c r="B7" s="11" t="n">
        <f aca="false">Assumptions!$B$27</f>
        <v>0.0988943627301473</v>
      </c>
      <c r="C7" s="11" t="n">
        <f aca="false">Assumptions!$B$27</f>
        <v>0.0988943627301473</v>
      </c>
      <c r="D7" s="11" t="n">
        <f aca="false">Assumptions!$B$27</f>
        <v>0.0988943627301473</v>
      </c>
    </row>
    <row r="8" customFormat="false" ht="15" hidden="false" customHeight="false" outlineLevel="0" collapsed="false">
      <c r="A8" s="6" t="s">
        <v>195</v>
      </c>
      <c r="B8" s="30" t="n">
        <f aca="false">B5*(1+B6)/(B7-B6)</f>
        <v>2799259.67034343</v>
      </c>
      <c r="C8" s="30" t="n">
        <f aca="false">C5*(1+C6)/(C7-C6)</f>
        <v>6546282.37387804</v>
      </c>
      <c r="D8" s="30" t="n">
        <f aca="false">D5*(1+D6)/(D7-D6)</f>
        <v>10084022.7123526</v>
      </c>
    </row>
    <row r="9" customFormat="false" ht="15" hidden="false" customHeight="false" outlineLevel="0" collapsed="false">
      <c r="A9" s="6" t="s">
        <v>196</v>
      </c>
      <c r="B9" s="45" t="n">
        <f aca="false">Projections!G20</f>
        <v>0.664315866870502</v>
      </c>
      <c r="C9" s="45" t="n">
        <f aca="false">Projections!G41</f>
        <v>0.664315866870502</v>
      </c>
      <c r="D9" s="45" t="n">
        <f aca="false">Projections!G62</f>
        <v>0.664315866870502</v>
      </c>
    </row>
    <row r="10" customFormat="false" ht="15" hidden="false" customHeight="false" outlineLevel="0" collapsed="false">
      <c r="A10" s="6" t="s">
        <v>197</v>
      </c>
      <c r="B10" s="30" t="n">
        <f aca="false">B8*B9</f>
        <v>1859592.61449983</v>
      </c>
      <c r="C10" s="30" t="n">
        <f aca="false">C8*C9</f>
        <v>4348799.24998188</v>
      </c>
      <c r="D10" s="30" t="n">
        <f aca="false">D8*D9</f>
        <v>6698976.28969834</v>
      </c>
    </row>
    <row r="11" customFormat="false" ht="15" hidden="false" customHeight="false" outlineLevel="0" collapsed="false">
      <c r="A11" s="3" t="s">
        <v>68</v>
      </c>
      <c r="B11" s="42" t="n">
        <f aca="false">B4+B10</f>
        <v>2605427.18772406</v>
      </c>
      <c r="C11" s="42" t="n">
        <f aca="false">C4+C10</f>
        <v>5533769.22710337</v>
      </c>
      <c r="D11" s="42" t="n">
        <f aca="false">D4+D10</f>
        <v>8219538.7208251</v>
      </c>
    </row>
    <row r="12" customFormat="false" ht="15" hidden="false" customHeight="false" outlineLevel="0" collapsed="false">
      <c r="A12" s="6" t="s">
        <v>198</v>
      </c>
      <c r="B12" s="17" t="n">
        <f aca="false">Assumptions!$B$16</f>
        <v>91581.5</v>
      </c>
      <c r="C12" s="17" t="n">
        <f aca="false">Assumptions!$B$16</f>
        <v>91581.5</v>
      </c>
      <c r="D12" s="17" t="n">
        <f aca="false">Assumptions!$B$16</f>
        <v>91581.5</v>
      </c>
    </row>
    <row r="13" customFormat="false" ht="15" hidden="false" customHeight="false" outlineLevel="0" collapsed="false">
      <c r="A13" s="6" t="s">
        <v>199</v>
      </c>
      <c r="B13" s="30" t="n">
        <f aca="false">B11+B12</f>
        <v>2697008.68772406</v>
      </c>
      <c r="C13" s="30" t="n">
        <f aca="false">C11+C12</f>
        <v>5625350.72710337</v>
      </c>
      <c r="D13" s="30" t="n">
        <f aca="false">D11+D12</f>
        <v>8311120.2208251</v>
      </c>
    </row>
    <row r="14" customFormat="false" ht="15" hidden="false" customHeight="false" outlineLevel="0" collapsed="false">
      <c r="A14" s="6" t="s">
        <v>200</v>
      </c>
      <c r="B14" s="46" t="n">
        <f aca="false">Assumptions!$B$6</f>
        <v>24260</v>
      </c>
      <c r="C14" s="46" t="n">
        <f aca="false">Assumptions!$B$6</f>
        <v>24260</v>
      </c>
      <c r="D14" s="46" t="n">
        <f aca="false">Assumptions!$B$6</f>
        <v>24260</v>
      </c>
    </row>
    <row r="15" customFormat="false" ht="15" hidden="false" customHeight="false" outlineLevel="0" collapsed="false">
      <c r="A15" s="3" t="s">
        <v>201</v>
      </c>
      <c r="B15" s="8" t="n">
        <f aca="false">B13/B14</f>
        <v>111.171009386812</v>
      </c>
      <c r="C15" s="8" t="n">
        <f aca="false">C13/C14</f>
        <v>231.877606228498</v>
      </c>
      <c r="D15" s="8" t="n">
        <f aca="false">D13/D14</f>
        <v>342.585334741348</v>
      </c>
    </row>
    <row r="16" customFormat="false" ht="15" hidden="false" customHeight="false" outlineLevel="0" collapsed="false">
      <c r="A16" s="6" t="s">
        <v>202</v>
      </c>
      <c r="B16" s="7" t="n">
        <f aca="false">Assumptions!$B$5</f>
        <v>228.38</v>
      </c>
      <c r="C16" s="7" t="n">
        <f aca="false">Assumptions!$B$5</f>
        <v>228.38</v>
      </c>
      <c r="D16" s="7" t="n">
        <f aca="false">Assumptions!$B$5</f>
        <v>228.38</v>
      </c>
    </row>
    <row r="17" customFormat="false" ht="15" hidden="false" customHeight="false" outlineLevel="0" collapsed="false">
      <c r="A17" s="3" t="s">
        <v>203</v>
      </c>
      <c r="B17" s="9" t="n">
        <f aca="false">B15/B16-1</f>
        <v>-0.513219154974989</v>
      </c>
      <c r="C17" s="9" t="n">
        <f aca="false">C15/C16-1</f>
        <v>0.0153148534394361</v>
      </c>
      <c r="D17" s="9" t="n">
        <f aca="false">D15/D16-1</f>
        <v>0.500067145727944</v>
      </c>
    </row>
    <row r="18" customFormat="false" ht="15" hidden="false" customHeight="false" outlineLevel="0" collapsed="false">
      <c r="A18" s="6" t="s">
        <v>204</v>
      </c>
      <c r="B18" s="16" t="n">
        <f aca="false">B10/B11</f>
        <v>0.71373808612332</v>
      </c>
      <c r="C18" s="16" t="n">
        <f aca="false">C10/C11</f>
        <v>0.785865667957794</v>
      </c>
      <c r="D18" s="16" t="n">
        <f aca="false">D10/D11</f>
        <v>0.815006354641989</v>
      </c>
    </row>
    <row r="19" customFormat="false" ht="15" hidden="false" customHeight="false" outlineLevel="0" collapsed="false">
      <c r="A19" s="6" t="s">
        <v>205</v>
      </c>
      <c r="B19" s="23" t="n">
        <f aca="false">B8/Projections!G10</f>
        <v>12.4182950884806</v>
      </c>
      <c r="C19" s="23" t="n">
        <f aca="false">C8/Projections!G31</f>
        <v>13.0620237354038</v>
      </c>
      <c r="D19" s="23" t="n">
        <f aca="false">D8/Projections!G52</f>
        <v>14.1522155202651</v>
      </c>
    </row>
    <row r="22" customFormat="false" ht="15" hidden="false" customHeight="false" outlineLevel="0" collapsed="false">
      <c r="A22" s="12" t="s">
        <v>206</v>
      </c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A23" s="3" t="s">
        <v>207</v>
      </c>
      <c r="B23" s="47" t="n">
        <f aca="false">$C$6+(-0.01)</f>
        <v>0.025</v>
      </c>
      <c r="C23" s="47" t="n">
        <f aca="false">$C$6+(-0.005)</f>
        <v>0.03</v>
      </c>
      <c r="D23" s="47" t="n">
        <f aca="false">$C$6+(0)</f>
        <v>0.035</v>
      </c>
      <c r="E23" s="47" t="n">
        <f aca="false">$C$6+(0.005)</f>
        <v>0.04</v>
      </c>
      <c r="F23" s="47" t="n">
        <f aca="false">$C$6+(0.01)</f>
        <v>0.045</v>
      </c>
    </row>
    <row r="24" customFormat="false" ht="15" hidden="false" customHeight="false" outlineLevel="0" collapsed="false">
      <c r="A24" s="48" t="n">
        <f aca="false">$C$7+(-0.015)</f>
        <v>0.0838943627301473</v>
      </c>
      <c r="B24" s="10" t="n">
        <f aca="false">(SUMPRODUCT(Projections!$C$39:$G$39/(1+$A24)^Projections!$C$40:$G$40)+Projections!$G$37*(1+B$23)/($A24-B$23)/(1+$A24)^Projections!$G$40+Assumptions!$B$16)/Assumptions!$B$6</f>
        <v>258.835451602915</v>
      </c>
      <c r="C24" s="10" t="n">
        <f aca="false">(SUMPRODUCT(Projections!$C$39:$G$39/(1+$A24)^Projections!$C$40:$G$40)+Projections!$G$37*(1+C$23)/($A24-C$23)/(1+$A24)^Projections!$G$40+Assumptions!$B$16)/Assumptions!$B$6</f>
        <v>278.890701122852</v>
      </c>
      <c r="D24" s="10" t="n">
        <f aca="false">(SUMPRODUCT(Projections!$C$39:$G$39/(1+$A24)^Projections!$C$40:$G$40)+Projections!$G$37*(1+D$23)/($A24-D$23)/(1+$A24)^Projections!$G$40+Assumptions!$B$16)/Assumptions!$B$6</f>
        <v>303.047701519598</v>
      </c>
      <c r="E24" s="10" t="n">
        <f aca="false">(SUMPRODUCT(Projections!$C$39:$G$39/(1+$A24)^Projections!$C$40:$G$40)+Projections!$G$37*(1+E$23)/($A24-E$23)/(1+$A24)^Projections!$G$40+Assumptions!$B$16)/Assumptions!$B$6</f>
        <v>332.70814219756</v>
      </c>
      <c r="F24" s="10" t="n">
        <f aca="false">(SUMPRODUCT(Projections!$C$39:$G$39/(1+$A24)^Projections!$C$40:$G$40)+Projections!$G$37*(1+F$23)/($A24-F$23)/(1+$A24)^Projections!$G$40+Assumptions!$B$16)/Assumptions!$B$6</f>
        <v>369.994479945427</v>
      </c>
    </row>
    <row r="25" customFormat="false" ht="15" hidden="false" customHeight="false" outlineLevel="0" collapsed="false">
      <c r="A25" s="48" t="n">
        <f aca="false">$C$7+(-0.01)</f>
        <v>0.0888943627301473</v>
      </c>
      <c r="B25" s="10" t="n">
        <f aca="false">(SUMPRODUCT(Projections!$C$39:$G$39/(1+$A25)^Projections!$C$40:$G$40)+Projections!$G$37*(1+B$23)/($A25-B$23)/(1+$A25)^Projections!$G$40+Assumptions!$B$16)/Assumptions!$B$6</f>
        <v>238.506353432297</v>
      </c>
      <c r="C25" s="10" t="n">
        <f aca="false">(SUMPRODUCT(Projections!$C$39:$G$39/(1+$A25)^Projections!$C$40:$G$40)+Projections!$G$37*(1+C$23)/($A25-C$23)/(1+$A25)^Projections!$G$40+Assumptions!$B$16)/Assumptions!$B$6</f>
        <v>255.164969788055</v>
      </c>
      <c r="D25" s="10" t="n">
        <f aca="false">(SUMPRODUCT(Projections!$C$39:$G$39/(1+$A25)^Projections!$C$40:$G$40)+Projections!$G$37*(1+D$23)/($A25-D$23)/(1+$A25)^Projections!$G$40+Assumptions!$B$16)/Assumptions!$B$6</f>
        <v>274.91456180655</v>
      </c>
      <c r="E25" s="10" t="n">
        <f aca="false">(SUMPRODUCT(Projections!$C$39:$G$39/(1+$A25)^Projections!$C$40:$G$40)+Projections!$G$37*(1+E$23)/($A25-E$23)/(1+$A25)^Projections!$G$40+Assumptions!$B$16)/Assumptions!$B$6</f>
        <v>298.703390848645</v>
      </c>
      <c r="F25" s="10" t="n">
        <f aca="false">(SUMPRODUCT(Projections!$C$39:$G$39/(1+$A25)^Projections!$C$40:$G$40)+Projections!$G$37*(1+F$23)/($A25-F$23)/(1+$A25)^Projections!$G$40+Assumptions!$B$16)/Assumptions!$B$6</f>
        <v>327.911783488996</v>
      </c>
    </row>
    <row r="26" customFormat="false" ht="15" hidden="false" customHeight="false" outlineLevel="0" collapsed="false">
      <c r="A26" s="48" t="n">
        <f aca="false">$C$7+(-0.005)</f>
        <v>0.0938943627301473</v>
      </c>
      <c r="B26" s="10" t="n">
        <f aca="false">(SUMPRODUCT(Projections!$C$39:$G$39/(1+$A26)^Projections!$C$40:$G$40)+Projections!$G$37*(1+B$23)/($A26-B$23)/(1+$A26)^Projections!$G$40+Assumptions!$B$16)/Assumptions!$B$6</f>
        <v>221.135172827284</v>
      </c>
      <c r="C26" s="10" t="n">
        <f aca="false">(SUMPRODUCT(Projections!$C$39:$G$39/(1+$A26)^Projections!$C$40:$G$40)+Projections!$G$37*(1+C$23)/($A26-C$23)/(1+$A26)^Projections!$G$40+Assumptions!$B$16)/Assumptions!$B$6</f>
        <v>235.159743718963</v>
      </c>
      <c r="D26" s="10" t="n">
        <f aca="false">(SUMPRODUCT(Projections!$C$39:$G$39/(1+$A26)^Projections!$C$40:$G$40)+Projections!$G$37*(1+D$23)/($A26-D$23)/(1+$A26)^Projections!$G$40+Assumptions!$B$16)/Assumptions!$B$6</f>
        <v>251.565624169238</v>
      </c>
      <c r="E26" s="10" t="n">
        <f aca="false">(SUMPRODUCT(Projections!$C$39:$G$39/(1+$A26)^Projections!$C$40:$G$40)+Projections!$G$37*(1+E$23)/($A26-E$23)/(1+$A26)^Projections!$G$40+Assumptions!$B$16)/Assumptions!$B$6</f>
        <v>271.015585599267</v>
      </c>
      <c r="F26" s="10" t="n">
        <f aca="false">(SUMPRODUCT(Projections!$C$39:$G$39/(1+$A26)^Projections!$C$40:$G$40)+Projections!$G$37*(1+F$23)/($A26-F$23)/(1+$A26)^Projections!$G$40+Assumptions!$B$16)/Assumptions!$B$6</f>
        <v>294.443502839329</v>
      </c>
    </row>
    <row r="27" customFormat="false" ht="15" hidden="false" customHeight="false" outlineLevel="0" collapsed="false">
      <c r="A27" s="48" t="n">
        <f aca="false">$C$7+(0)</f>
        <v>0.0988943627301473</v>
      </c>
      <c r="B27" s="10" t="n">
        <f aca="false">(SUMPRODUCT(Projections!$C$39:$G$39/(1+$A27)^Projections!$C$40:$G$40)+Projections!$G$37*(1+B$23)/($A27-B$23)/(1+$A27)^Projections!$G$40+Assumptions!$B$16)/Assumptions!$B$6</f>
        <v>206.1213432204</v>
      </c>
      <c r="C27" s="10" t="n">
        <f aca="false">(SUMPRODUCT(Projections!$C$39:$G$39/(1+$A27)^Projections!$C$40:$G$40)+Projections!$G$37*(1+C$23)/($A27-C$23)/(1+$A27)^Projections!$G$40+Assumptions!$B$16)/Assumptions!$B$6</f>
        <v>218.064845896073</v>
      </c>
      <c r="D27" s="10" t="n">
        <f aca="false">(SUMPRODUCT(Projections!$C$39:$G$39/(1+$A27)^Projections!$C$40:$G$40)+Projections!$G$37*(1+D$23)/($A27-D$23)/(1+$A27)^Projections!$G$40+Assumptions!$B$16)/Assumptions!$B$6</f>
        <v>231.877606228498</v>
      </c>
      <c r="E27" s="10" t="n">
        <f aca="false">(SUMPRODUCT(Projections!$C$39:$G$39/(1+$A27)^Projections!$C$40:$G$40)+Projections!$G$37*(1+E$23)/($A27-E$23)/(1+$A27)^Projections!$G$40+Assumptions!$B$16)/Assumptions!$B$6</f>
        <v>248.035711631677</v>
      </c>
      <c r="F27" s="10" t="n">
        <f aca="false">(SUMPRODUCT(Projections!$C$39:$G$39/(1+$A27)^Projections!$C$40:$G$40)+Projections!$G$37*(1+F$23)/($A27-F$23)/(1+$A27)^Projections!$G$40+Assumptions!$B$16)/Assumptions!$B$6</f>
        <v>267.191923809785</v>
      </c>
    </row>
    <row r="28" customFormat="false" ht="15" hidden="false" customHeight="false" outlineLevel="0" collapsed="false">
      <c r="A28" s="48" t="n">
        <f aca="false">$C$7+(0.005)</f>
        <v>0.103894362730147</v>
      </c>
      <c r="B28" s="10" t="n">
        <f aca="false">(SUMPRODUCT(Projections!$C$39:$G$39/(1+$A28)^Projections!$C$40:$G$40)+Projections!$G$37*(1+B$23)/($A28-B$23)/(1+$A28)^Projections!$G$40+Assumptions!$B$16)/Assumptions!$B$6</f>
        <v>193.016546838282</v>
      </c>
      <c r="C28" s="10" t="n">
        <f aca="false">(SUMPRODUCT(Projections!$C$39:$G$39/(1+$A28)^Projections!$C$40:$G$40)+Projections!$G$37*(1+C$23)/($A28-C$23)/(1+$A28)^Projections!$G$40+Assumptions!$B$16)/Assumptions!$B$6</f>
        <v>203.289382100615</v>
      </c>
      <c r="D28" s="10" t="n">
        <f aca="false">(SUMPRODUCT(Projections!$C$39:$G$39/(1+$A28)^Projections!$C$40:$G$40)+Projections!$G$37*(1+D$23)/($A28-D$23)/(1+$A28)^Projections!$G$40+Assumptions!$B$16)/Assumptions!$B$6</f>
        <v>215.053316903642</v>
      </c>
      <c r="E28" s="10" t="n">
        <f aca="false">(SUMPRODUCT(Projections!$C$39:$G$39/(1+$A28)^Projections!$C$40:$G$40)+Projections!$G$37*(1+E$23)/($A28-E$23)/(1+$A28)^Projections!$G$40+Assumptions!$B$16)/Assumptions!$B$6</f>
        <v>228.658405495575</v>
      </c>
      <c r="F28" s="10" t="n">
        <f aca="false">(SUMPRODUCT(Projections!$C$39:$G$39/(1+$A28)^Projections!$C$40:$G$40)+Projections!$G$37*(1+F$23)/($A28-F$23)/(1+$A28)^Projections!$G$40+Assumptions!$B$16)/Assumptions!$B$6</f>
        <v>244.573577423372</v>
      </c>
    </row>
    <row r="29" customFormat="false" ht="15" hidden="false" customHeight="false" outlineLevel="0" collapsed="false">
      <c r="A29" s="48" t="n">
        <f aca="false">$C$7+(0.01)</f>
        <v>0.108894362730147</v>
      </c>
      <c r="B29" s="10" t="n">
        <f aca="false">(SUMPRODUCT(Projections!$C$39:$G$39/(1+$A29)^Projections!$C$40:$G$40)+Projections!$G$37*(1+B$23)/($A29-B$23)/(1+$A29)^Projections!$G$40+Assumptions!$B$16)/Assumptions!$B$6</f>
        <v>181.479345420004</v>
      </c>
      <c r="C29" s="10" t="n">
        <f aca="false">(SUMPRODUCT(Projections!$C$39:$G$39/(1+$A29)^Projections!$C$40:$G$40)+Projections!$G$37*(1+C$23)/($A29-C$23)/(1+$A29)^Projections!$G$40+Assumptions!$B$16)/Assumptions!$B$6</f>
        <v>190.392254624376</v>
      </c>
      <c r="D29" s="10" t="n">
        <f aca="false">(SUMPRODUCT(Projections!$C$39:$G$39/(1+$A29)^Projections!$C$40:$G$40)+Projections!$G$37*(1+D$23)/($A29-D$23)/(1+$A29)^Projections!$G$40+Assumptions!$B$16)/Assumptions!$B$6</f>
        <v>200.51133286182</v>
      </c>
      <c r="E29" s="10" t="n">
        <f aca="false">(SUMPRODUCT(Projections!$C$39:$G$39/(1+$A29)^Projections!$C$40:$G$40)+Projections!$G$37*(1+E$23)/($A29-E$23)/(1+$A29)^Projections!$G$40+Assumptions!$B$16)/Assumptions!$B$6</f>
        <v>212.099192845179</v>
      </c>
      <c r="F29" s="10" t="n">
        <f aca="false">(SUMPRODUCT(Projections!$C$39:$G$39/(1+$A29)^Projections!$C$40:$G$40)+Projections!$G$37*(1+F$23)/($A29-F$23)/(1+$A29)^Projections!$G$40+Assumptions!$B$16)/Assumptions!$B$6</f>
        <v>225.500649441482</v>
      </c>
    </row>
    <row r="30" customFormat="false" ht="15" hidden="false" customHeight="false" outlineLevel="0" collapsed="false">
      <c r="A30" s="48" t="n">
        <f aca="false">$C$7+(0.015)</f>
        <v>0.113894362730147</v>
      </c>
      <c r="B30" s="10" t="n">
        <f aca="false">(SUMPRODUCT(Projections!$C$39:$G$39/(1+$A30)^Projections!$C$40:$G$40)+Projections!$G$37*(1+B$23)/($A30-B$23)/(1+$A30)^Projections!$G$40+Assumptions!$B$16)/Assumptions!$B$6</f>
        <v>171.245122127854</v>
      </c>
      <c r="C30" s="10" t="n">
        <f aca="false">(SUMPRODUCT(Projections!$C$39:$G$39/(1+$A30)^Projections!$C$40:$G$40)+Projections!$G$37*(1+C$23)/($A30-C$23)/(1+$A30)^Projections!$G$40+Assumptions!$B$16)/Assumptions!$B$6</f>
        <v>179.037523762641</v>
      </c>
      <c r="D30" s="10" t="n">
        <f aca="false">(SUMPRODUCT(Projections!$C$39:$G$39/(1+$A30)^Projections!$C$40:$G$40)+Projections!$G$37*(1+D$23)/($A30-D$23)/(1+$A30)^Projections!$G$40+Assumptions!$B$16)/Assumptions!$B$6</f>
        <v>187.817626085429</v>
      </c>
      <c r="E30" s="10" t="n">
        <f aca="false">(SUMPRODUCT(Projections!$C$39:$G$39/(1+$A30)^Projections!$C$40:$G$40)+Projections!$G$37*(1+E$23)/($A30-E$23)/(1+$A30)^Projections!$G$40+Assumptions!$B$16)/Assumptions!$B$6</f>
        <v>197.785924909058</v>
      </c>
      <c r="F30" s="10" t="n">
        <f aca="false">(SUMPRODUCT(Projections!$C$39:$G$39/(1+$A30)^Projections!$C$40:$G$40)+Projections!$G$37*(1+F$23)/($A30-F$23)/(1+$A30)^Projections!$G$40+Assumptions!$B$16)/Assumptions!$B$6</f>
        <v>209.201119883345</v>
      </c>
    </row>
    <row r="32" customFormat="false" ht="15" hidden="false" customHeight="false" outlineLevel="0" collapsed="false">
      <c r="A32" s="5" t="s">
        <v>208</v>
      </c>
    </row>
    <row r="34" customFormat="false" ht="15" hidden="false" customHeight="false" outlineLevel="0" collapsed="false">
      <c r="A34" s="12" t="s">
        <v>209</v>
      </c>
      <c r="B34" s="13"/>
      <c r="C34" s="13"/>
      <c r="D34" s="13"/>
      <c r="E34" s="13"/>
      <c r="F34" s="13"/>
      <c r="G34" s="13"/>
      <c r="H34" s="13"/>
    </row>
    <row r="35" customFormat="false" ht="15" hidden="false" customHeight="false" outlineLevel="0" collapsed="false">
      <c r="A35" s="3" t="s">
        <v>207</v>
      </c>
      <c r="B35" s="47" t="n">
        <f aca="false">B23</f>
        <v>0.025</v>
      </c>
      <c r="C35" s="47" t="n">
        <f aca="false">C23</f>
        <v>0.03</v>
      </c>
      <c r="D35" s="47" t="n">
        <f aca="false">D23</f>
        <v>0.035</v>
      </c>
      <c r="E35" s="47" t="n">
        <f aca="false">E23</f>
        <v>0.04</v>
      </c>
      <c r="F35" s="47" t="n">
        <f aca="false">F23</f>
        <v>0.045</v>
      </c>
    </row>
    <row r="36" customFormat="false" ht="15" hidden="false" customHeight="false" outlineLevel="0" collapsed="false">
      <c r="A36" s="48" t="n">
        <f aca="false">A24</f>
        <v>0.0838943627301473</v>
      </c>
      <c r="B36" s="16" t="n">
        <f aca="false">B24/Assumptions!$B$5-1</f>
        <v>0.133354284976422</v>
      </c>
      <c r="C36" s="16" t="n">
        <f aca="false">C24/Assumptions!$B$5-1</f>
        <v>0.221169546908014</v>
      </c>
      <c r="D36" s="16" t="n">
        <f aca="false">D24/Assumptions!$B$5-1</f>
        <v>0.326945010594613</v>
      </c>
      <c r="E36" s="16" t="n">
        <f aca="false">E24/Assumptions!$B$5-1</f>
        <v>0.456818207362993</v>
      </c>
      <c r="F36" s="16" t="n">
        <f aca="false">F24/Assumptions!$B$5-1</f>
        <v>0.620082668996529</v>
      </c>
    </row>
    <row r="37" customFormat="false" ht="15" hidden="false" customHeight="false" outlineLevel="0" collapsed="false">
      <c r="A37" s="48" t="n">
        <f aca="false">A25</f>
        <v>0.0888943627301473</v>
      </c>
      <c r="B37" s="16" t="n">
        <f aca="false">B25/Assumptions!$B$5-1</f>
        <v>0.0443399309584787</v>
      </c>
      <c r="C37" s="16" t="n">
        <f aca="false">C25/Assumptions!$B$5-1</f>
        <v>0.117282466888762</v>
      </c>
      <c r="D37" s="16" t="n">
        <f aca="false">D25/Assumptions!$B$5-1</f>
        <v>0.203759356364612</v>
      </c>
      <c r="E37" s="16" t="n">
        <f aca="false">E25/Assumptions!$B$5-1</f>
        <v>0.307922720241023</v>
      </c>
      <c r="F37" s="16" t="n">
        <f aca="false">F25/Assumptions!$B$5-1</f>
        <v>0.435816549124247</v>
      </c>
    </row>
    <row r="38" customFormat="false" ht="15" hidden="false" customHeight="false" outlineLevel="0" collapsed="false">
      <c r="A38" s="48" t="n">
        <f aca="false">A26</f>
        <v>0.0938943627301473</v>
      </c>
      <c r="B38" s="16" t="n">
        <f aca="false">B26/Assumptions!$B$5-1</f>
        <v>-0.0317226866306848</v>
      </c>
      <c r="C38" s="16" t="n">
        <f aca="false">C26/Assumptions!$B$5-1</f>
        <v>0.0296862409972969</v>
      </c>
      <c r="D38" s="16" t="n">
        <f aca="false">D26/Assumptions!$B$5-1</f>
        <v>0.101522130524732</v>
      </c>
      <c r="E38" s="16" t="n">
        <f aca="false">E26/Assumptions!$B$5-1</f>
        <v>0.186687037390607</v>
      </c>
      <c r="F38" s="16" t="n">
        <f aca="false">F26/Assumptions!$B$5-1</f>
        <v>0.289270088621286</v>
      </c>
    </row>
    <row r="39" customFormat="false" ht="15" hidden="false" customHeight="false" outlineLevel="0" collapsed="false">
      <c r="A39" s="48" t="n">
        <f aca="false">A27</f>
        <v>0.0988943627301473</v>
      </c>
      <c r="B39" s="16" t="n">
        <f aca="false">B27/Assumptions!$B$5-1</f>
        <v>-0.0974632488816867</v>
      </c>
      <c r="C39" s="16" t="n">
        <f aca="false">C27/Assumptions!$B$5-1</f>
        <v>-0.0451666262541701</v>
      </c>
      <c r="D39" s="16" t="n">
        <f aca="false">D27/Assumptions!$B$5-1</f>
        <v>0.0153148534394361</v>
      </c>
      <c r="E39" s="16" t="n">
        <f aca="false">E27/Assumptions!$B$5-1</f>
        <v>0.0860658185115888</v>
      </c>
      <c r="F39" s="16" t="n">
        <f aca="false">F27/Assumptions!$B$5-1</f>
        <v>0.169944495182524</v>
      </c>
    </row>
    <row r="40" customFormat="false" ht="15" hidden="false" customHeight="false" outlineLevel="0" collapsed="false">
      <c r="A40" s="48" t="n">
        <f aca="false">A28</f>
        <v>0.103894362730147</v>
      </c>
      <c r="B40" s="16" t="n">
        <f aca="false">B28/Assumptions!$B$5-1</f>
        <v>-0.154844790094221</v>
      </c>
      <c r="C40" s="16" t="n">
        <f aca="false">C28/Assumptions!$B$5-1</f>
        <v>-0.109863463960876</v>
      </c>
      <c r="D40" s="16" t="n">
        <f aca="false">D28/Assumptions!$B$5-1</f>
        <v>-0.0583531092755825</v>
      </c>
      <c r="E40" s="16" t="n">
        <f aca="false">E28/Assumptions!$B$5-1</f>
        <v>0.00121904499332115</v>
      </c>
      <c r="F40" s="16" t="n">
        <f aca="false">F28/Assumptions!$B$5-1</f>
        <v>0.0709062852411431</v>
      </c>
    </row>
    <row r="41" customFormat="false" ht="15" hidden="false" customHeight="false" outlineLevel="0" collapsed="false">
      <c r="A41" s="48" t="n">
        <f aca="false">A29</f>
        <v>0.108894362730147</v>
      </c>
      <c r="B41" s="16" t="n">
        <f aca="false">B29/Assumptions!$B$5-1</f>
        <v>-0.205362354759594</v>
      </c>
      <c r="C41" s="16" t="n">
        <f aca="false">C29/Assumptions!$B$5-1</f>
        <v>-0.166335692160539</v>
      </c>
      <c r="D41" s="16" t="n">
        <f aca="false">D29/Assumptions!$B$5-1</f>
        <v>-0.122027616858655</v>
      </c>
      <c r="E41" s="16" t="n">
        <f aca="false">E29/Assumptions!$B$5-1</f>
        <v>-0.0712882351993203</v>
      </c>
      <c r="F41" s="16" t="n">
        <f aca="false">F29/Assumptions!$B$5-1</f>
        <v>-0.0126077176570555</v>
      </c>
    </row>
    <row r="42" customFormat="false" ht="15" hidden="false" customHeight="false" outlineLevel="0" collapsed="false">
      <c r="A42" s="48" t="n">
        <f aca="false">A30</f>
        <v>0.113894362730147</v>
      </c>
      <c r="B42" s="16" t="n">
        <f aca="false">B30/Assumptions!$B$5-1</f>
        <v>-0.25017461192813</v>
      </c>
      <c r="C42" s="16" t="n">
        <f aca="false">C30/Assumptions!$B$5-1</f>
        <v>-0.216054278997105</v>
      </c>
      <c r="D42" s="16" t="n">
        <f aca="false">D30/Assumptions!$B$5-1</f>
        <v>-0.177609133525577</v>
      </c>
      <c r="E42" s="16" t="n">
        <f aca="false">E30/Assumptions!$B$5-1</f>
        <v>-0.133961271087409</v>
      </c>
      <c r="F42" s="16" t="n">
        <f aca="false">F30/Assumptions!$B$5-1</f>
        <v>-0.083977932028441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3" customFormat="false" ht="15" hidden="false" customHeight="false" outlineLevel="0" collapsed="false">
      <c r="A3" s="12" t="s">
        <v>212</v>
      </c>
      <c r="B3" s="13"/>
      <c r="C3" s="13"/>
      <c r="D3" s="13"/>
      <c r="E3" s="13"/>
    </row>
    <row r="4" customFormat="false" ht="15" hidden="false" customHeight="false" outlineLevel="0" collapsed="false">
      <c r="A4" s="6" t="s">
        <v>213</v>
      </c>
      <c r="B4" s="17" t="n">
        <f aca="false">Assumptions!B7</f>
        <v>5540498.8</v>
      </c>
    </row>
    <row r="5" customFormat="false" ht="15" hidden="false" customHeight="false" outlineLevel="0" collapsed="false">
      <c r="A5" s="6" t="s">
        <v>68</v>
      </c>
      <c r="B5" s="17" t="n">
        <f aca="false">Assumptions!B17</f>
        <v>5448917.3</v>
      </c>
    </row>
    <row r="6" customFormat="false" ht="15" hidden="false" customHeight="false" outlineLevel="0" collapsed="false">
      <c r="A6" s="6" t="s">
        <v>214</v>
      </c>
      <c r="B6" s="17" t="n">
        <f aca="false">Historical!G5</f>
        <v>302970</v>
      </c>
    </row>
    <row r="7" customFormat="false" ht="15" hidden="false" customHeight="false" outlineLevel="0" collapsed="false">
      <c r="A7" s="6" t="s">
        <v>215</v>
      </c>
      <c r="B7" s="17" t="n">
        <f aca="false">Historical!G8</f>
        <v>197579</v>
      </c>
    </row>
    <row r="8" customFormat="false" ht="15" hidden="false" customHeight="false" outlineLevel="0" collapsed="false">
      <c r="A8" s="6" t="s">
        <v>216</v>
      </c>
      <c r="B8" s="17" t="n">
        <f aca="false">Historical!G9</f>
        <v>192880</v>
      </c>
    </row>
    <row r="9" customFormat="false" ht="15" hidden="false" customHeight="false" outlineLevel="0" collapsed="false">
      <c r="A9" s="6" t="s">
        <v>27</v>
      </c>
      <c r="B9" s="49" t="n">
        <f aca="false">B4/B8</f>
        <v>28.7251078390709</v>
      </c>
      <c r="E9" s="5" t="s">
        <v>217</v>
      </c>
    </row>
    <row r="10" customFormat="false" ht="15" hidden="false" customHeight="false" outlineLevel="0" collapsed="false">
      <c r="A10" s="6" t="s">
        <v>218</v>
      </c>
      <c r="B10" s="49" t="n">
        <f aca="false">B5/B6</f>
        <v>17.9850061062151</v>
      </c>
    </row>
    <row r="11" customFormat="false" ht="15" hidden="false" customHeight="false" outlineLevel="0" collapsed="false">
      <c r="A11" s="6" t="s">
        <v>219</v>
      </c>
      <c r="B11" s="49" t="n">
        <f aca="false">B5/B7</f>
        <v>27.5784233142186</v>
      </c>
    </row>
    <row r="12" customFormat="false" ht="15" hidden="false" customHeight="false" outlineLevel="0" collapsed="false">
      <c r="A12" s="6" t="s">
        <v>220</v>
      </c>
      <c r="B12" s="16" t="n">
        <f aca="false">B7/B6</f>
        <v>0.652140475954715</v>
      </c>
    </row>
    <row r="13" customFormat="false" ht="15" hidden="false" customHeight="false" outlineLevel="0" collapsed="false">
      <c r="A13" s="6" t="s">
        <v>221</v>
      </c>
      <c r="B13" s="23" t="n">
        <f aca="false">Assumptions!B5/Projections!C44</f>
        <v>24.9137965329936</v>
      </c>
    </row>
    <row r="14" customFormat="false" ht="15" hidden="false" customHeight="false" outlineLevel="0" collapsed="false">
      <c r="A14" s="6" t="s">
        <v>28</v>
      </c>
      <c r="B14" s="23" t="n">
        <f aca="false">Assumptions!B5/Projections!D44</f>
        <v>18.4546640985138</v>
      </c>
    </row>
    <row r="16" customFormat="false" ht="15" hidden="false" customHeight="false" outlineLevel="0" collapsed="false">
      <c r="A16" s="12" t="s">
        <v>222</v>
      </c>
      <c r="B16" s="13"/>
      <c r="C16" s="13"/>
      <c r="D16" s="13"/>
      <c r="E16" s="13"/>
    </row>
    <row r="17" customFormat="false" ht="15" hidden="false" customHeight="false" outlineLevel="0" collapsed="false">
      <c r="A17" s="14"/>
      <c r="B17" s="15" t="s">
        <v>17</v>
      </c>
      <c r="C17" s="15" t="s">
        <v>18</v>
      </c>
      <c r="D17" s="15" t="s">
        <v>19</v>
      </c>
    </row>
    <row r="18" customFormat="false" ht="15" hidden="false" customHeight="false" outlineLevel="0" collapsed="false">
      <c r="A18" s="6" t="s">
        <v>15</v>
      </c>
      <c r="B18" s="7" t="n">
        <f aca="false">Projections!D23</f>
        <v>9.27762574328112</v>
      </c>
      <c r="C18" s="7" t="n">
        <f aca="false">Projections!D44</f>
        <v>12.3751913760594</v>
      </c>
      <c r="D18" s="7" t="n">
        <f aca="false">Projections!D65</f>
        <v>14.6190204019786</v>
      </c>
    </row>
    <row r="19" customFormat="false" ht="15" hidden="false" customHeight="false" outlineLevel="0" collapsed="false">
      <c r="A19" s="6" t="s">
        <v>223</v>
      </c>
      <c r="B19" s="23" t="n">
        <f aca="false">Assumptions!B53</f>
        <v>14</v>
      </c>
      <c r="C19" s="23" t="n">
        <f aca="false">Assumptions!C53</f>
        <v>22</v>
      </c>
      <c r="D19" s="23" t="n">
        <f aca="false">Assumptions!D53</f>
        <v>28</v>
      </c>
    </row>
    <row r="20" customFormat="false" ht="15" hidden="false" customHeight="false" outlineLevel="0" collapsed="false">
      <c r="A20" s="6" t="s">
        <v>5</v>
      </c>
      <c r="B20" s="10" t="n">
        <f aca="false">B18*B19</f>
        <v>129.886760405936</v>
      </c>
      <c r="C20" s="10" t="n">
        <f aca="false">C18*C19</f>
        <v>272.254210273306</v>
      </c>
      <c r="D20" s="10" t="n">
        <f aca="false">D18*D19</f>
        <v>409.3325712554</v>
      </c>
      <c r="E20" s="5" t="s">
        <v>224</v>
      </c>
    </row>
    <row r="21" customFormat="false" ht="15" hidden="false" customHeight="false" outlineLevel="0" collapsed="false">
      <c r="A21" s="6" t="s">
        <v>225</v>
      </c>
      <c r="B21" s="44" t="n">
        <f aca="false">1/(1+Assumptions!$B$23)</f>
        <v>0.909711166704571</v>
      </c>
      <c r="C21" s="44" t="n">
        <f aca="false">1/(1+Assumptions!$B$23)</f>
        <v>0.909711166704571</v>
      </c>
      <c r="D21" s="44" t="n">
        <f aca="false">1/(1+Assumptions!$B$23)</f>
        <v>0.909711166704571</v>
      </c>
    </row>
    <row r="22" customFormat="false" ht="15" hidden="false" customHeight="false" outlineLevel="0" collapsed="false">
      <c r="A22" s="3" t="s">
        <v>226</v>
      </c>
      <c r="B22" s="8" t="n">
        <f aca="false">B20*B21</f>
        <v>118.159436348361</v>
      </c>
      <c r="C22" s="8" t="n">
        <f aca="false">C20*C21</f>
        <v>247.672695267961</v>
      </c>
      <c r="D22" s="8" t="n">
        <f aca="false">D20*D21</f>
        <v>372.374410966932</v>
      </c>
    </row>
    <row r="23" customFormat="false" ht="15" hidden="false" customHeight="false" outlineLevel="0" collapsed="false">
      <c r="A23" s="6" t="s">
        <v>203</v>
      </c>
      <c r="B23" s="16" t="n">
        <f aca="false">B22/Assumptions!$B$5-1</f>
        <v>-0.482619159522021</v>
      </c>
      <c r="C23" s="16" t="n">
        <f aca="false">C22/Assumptions!$B$5-1</f>
        <v>0.0844762906907817</v>
      </c>
      <c r="D23" s="16" t="n">
        <f aca="false">D22/Assumptions!$B$5-1</f>
        <v>0.630503594740922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227</v>
      </c>
    </row>
    <row r="3" customFormat="false" ht="15" hidden="false" customHeight="false" outlineLevel="0" collapsed="false">
      <c r="A3" s="50" t="s">
        <v>228</v>
      </c>
    </row>
    <row r="4" customFormat="false" ht="23.85" hidden="false" customHeight="false" outlineLevel="0" collapsed="false">
      <c r="A4" s="51" t="s">
        <v>229</v>
      </c>
    </row>
    <row r="5" customFormat="false" ht="23.85" hidden="false" customHeight="false" outlineLevel="0" collapsed="false">
      <c r="A5" s="51" t="s">
        <v>230</v>
      </c>
    </row>
    <row r="6" customFormat="false" ht="15" hidden="false" customHeight="false" outlineLevel="0" collapsed="false">
      <c r="A6" s="51" t="s">
        <v>231</v>
      </c>
    </row>
    <row r="7" customFormat="false" ht="23.85" hidden="false" customHeight="false" outlineLevel="0" collapsed="false">
      <c r="A7" s="51" t="s">
        <v>232</v>
      </c>
    </row>
    <row r="8" customFormat="false" ht="23.85" hidden="false" customHeight="false" outlineLevel="0" collapsed="false">
      <c r="A8" s="51" t="s">
        <v>233</v>
      </c>
    </row>
    <row r="9" customFormat="false" ht="15" hidden="false" customHeight="false" outlineLevel="0" collapsed="false">
      <c r="A9" s="51" t="s">
        <v>234</v>
      </c>
    </row>
    <row r="10" customFormat="false" ht="15" hidden="false" customHeight="false" outlineLevel="0" collapsed="false">
      <c r="A10" s="51"/>
    </row>
    <row r="11" customFormat="false" ht="15" hidden="false" customHeight="false" outlineLevel="0" collapsed="false">
      <c r="A11" s="50" t="s">
        <v>235</v>
      </c>
    </row>
    <row r="12" customFormat="false" ht="23.85" hidden="false" customHeight="false" outlineLevel="0" collapsed="false">
      <c r="A12" s="51" t="s">
        <v>236</v>
      </c>
    </row>
    <row r="13" customFormat="false" ht="15" hidden="false" customHeight="false" outlineLevel="0" collapsed="false">
      <c r="A13" s="51" t="s">
        <v>237</v>
      </c>
    </row>
    <row r="14" customFormat="false" ht="15" hidden="false" customHeight="false" outlineLevel="0" collapsed="false">
      <c r="A14" s="51" t="s">
        <v>238</v>
      </c>
    </row>
    <row r="15" customFormat="false" ht="15" hidden="false" customHeight="false" outlineLevel="0" collapsed="false">
      <c r="A15" s="51" t="s">
        <v>239</v>
      </c>
    </row>
    <row r="16" customFormat="false" ht="23.85" hidden="false" customHeight="false" outlineLevel="0" collapsed="false">
      <c r="A16" s="51" t="s">
        <v>240</v>
      </c>
    </row>
    <row r="17" customFormat="false" ht="15" hidden="false" customHeight="false" outlineLevel="0" collapsed="false">
      <c r="A17" s="51" t="s">
        <v>241</v>
      </c>
    </row>
    <row r="18" customFormat="false" ht="15" hidden="false" customHeight="false" outlineLevel="0" collapsed="false">
      <c r="A18" s="51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2026-10-02T03:16:58Z</dcterms:created>
  <dc:creator>openpyxl</dc:creator>
  <dc:description/>
  <dc:language>en-US</dc:language>
  <cp:lastModifiedBy/>
  <dcterms:modified xsi:type="dcterms:W3CDTF">2026-10-02T03:17:01Z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